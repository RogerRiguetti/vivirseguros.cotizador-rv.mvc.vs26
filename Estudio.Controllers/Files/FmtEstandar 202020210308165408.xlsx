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zbeth.morales\Documents\"/>
    </mc:Choice>
  </mc:AlternateContent>
  <xr:revisionPtr revIDLastSave="0" documentId="13_ncr:1_{63054623-86B9-43C7-804E-D76E4AA18F9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Inici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E27" i="1" l="1"/>
  <c r="ED27" i="1"/>
  <c r="EC27" i="1"/>
  <c r="EB27" i="1"/>
  <c r="EA27" i="1"/>
  <c r="DZ27" i="1"/>
  <c r="DY27" i="1"/>
  <c r="EE25" i="1"/>
  <c r="ED25" i="1"/>
  <c r="EC25" i="1"/>
  <c r="EB25" i="1"/>
  <c r="EA25" i="1"/>
  <c r="DZ25" i="1"/>
  <c r="DY25" i="1"/>
  <c r="EE23" i="1"/>
  <c r="ED23" i="1"/>
  <c r="EC23" i="1"/>
  <c r="EB23" i="1"/>
  <c r="EA23" i="1"/>
  <c r="DZ23" i="1"/>
  <c r="DY23" i="1"/>
  <c r="EE21" i="1"/>
  <c r="ED21" i="1"/>
  <c r="EC21" i="1"/>
  <c r="EB21" i="1"/>
  <c r="EA21" i="1"/>
  <c r="DZ21" i="1"/>
  <c r="DY21" i="1"/>
  <c r="EE19" i="1"/>
  <c r="ED19" i="1"/>
  <c r="EC19" i="1"/>
  <c r="EB19" i="1"/>
  <c r="EA19" i="1"/>
  <c r="DZ19" i="1"/>
  <c r="DY19" i="1"/>
  <c r="EE17" i="1"/>
  <c r="ED17" i="1"/>
  <c r="EC17" i="1"/>
  <c r="EB17" i="1"/>
  <c r="EA17" i="1"/>
  <c r="DZ17" i="1"/>
  <c r="DY17" i="1"/>
  <c r="EE15" i="1"/>
  <c r="ED15" i="1"/>
  <c r="EC15" i="1"/>
  <c r="EB15" i="1"/>
  <c r="EA15" i="1"/>
  <c r="DZ15" i="1"/>
  <c r="DY15" i="1"/>
  <c r="EE13" i="1"/>
  <c r="ED13" i="1"/>
  <c r="EC13" i="1"/>
  <c r="EB13" i="1"/>
  <c r="EA13" i="1"/>
  <c r="DZ13" i="1"/>
  <c r="DY13" i="1"/>
  <c r="EE11" i="1"/>
  <c r="ED11" i="1"/>
  <c r="EC11" i="1"/>
  <c r="EB11" i="1"/>
  <c r="EA11" i="1"/>
  <c r="DZ11" i="1"/>
  <c r="DY11" i="1"/>
  <c r="EE9" i="1"/>
  <c r="ED9" i="1"/>
  <c r="EC9" i="1"/>
  <c r="EB9" i="1"/>
  <c r="EA9" i="1"/>
  <c r="DZ9" i="1"/>
  <c r="DY9" i="1"/>
  <c r="ED7" i="1"/>
  <c r="EC7" i="1"/>
  <c r="EB7" i="1"/>
  <c r="EA7" i="1"/>
  <c r="DZ7" i="1"/>
  <c r="DY7" i="1"/>
  <c r="ED5" i="1"/>
  <c r="DZ5" i="1"/>
  <c r="EA5" i="1"/>
  <c r="EB5" i="1"/>
  <c r="EC5" i="1"/>
  <c r="EE5" i="1"/>
  <c r="DY5" i="1"/>
  <c r="BL27" i="1"/>
  <c r="BL25" i="1"/>
  <c r="BL23" i="1"/>
  <c r="BL21" i="1"/>
  <c r="BL19" i="1"/>
  <c r="BL17" i="1"/>
  <c r="BL15" i="1"/>
  <c r="BL13" i="1"/>
  <c r="BL11" i="1"/>
  <c r="BL9" i="1"/>
  <c r="BL7" i="1"/>
  <c r="BL5" i="1"/>
  <c r="BM27" i="1"/>
  <c r="BK27" i="1"/>
  <c r="BJ27" i="1"/>
  <c r="BI27" i="1"/>
  <c r="BH27" i="1"/>
  <c r="BG27" i="1"/>
  <c r="BM25" i="1"/>
  <c r="BK25" i="1"/>
  <c r="BJ25" i="1"/>
  <c r="BI25" i="1"/>
  <c r="BH25" i="1"/>
  <c r="BG25" i="1"/>
  <c r="BM23" i="1"/>
  <c r="BK23" i="1"/>
  <c r="BJ23" i="1"/>
  <c r="BI23" i="1"/>
  <c r="BH23" i="1"/>
  <c r="BG23" i="1"/>
  <c r="BM21" i="1"/>
  <c r="BK21" i="1"/>
  <c r="BJ21" i="1"/>
  <c r="BI21" i="1"/>
  <c r="BH21" i="1"/>
  <c r="BG21" i="1"/>
  <c r="BM19" i="1"/>
  <c r="BK19" i="1"/>
  <c r="BJ19" i="1"/>
  <c r="BI19" i="1"/>
  <c r="BH19" i="1"/>
  <c r="BG19" i="1"/>
  <c r="BM17" i="1"/>
  <c r="BK17" i="1"/>
  <c r="BJ17" i="1"/>
  <c r="BI17" i="1"/>
  <c r="BH17" i="1"/>
  <c r="BG17" i="1"/>
  <c r="BM15" i="1"/>
  <c r="BK15" i="1"/>
  <c r="BJ15" i="1"/>
  <c r="BI15" i="1"/>
  <c r="BH15" i="1"/>
  <c r="BG15" i="1"/>
  <c r="BM13" i="1"/>
  <c r="BK13" i="1"/>
  <c r="BJ13" i="1"/>
  <c r="BI13" i="1"/>
  <c r="BH13" i="1"/>
  <c r="BG13" i="1"/>
  <c r="BM11" i="1"/>
  <c r="BK11" i="1"/>
  <c r="BJ11" i="1"/>
  <c r="BI11" i="1"/>
  <c r="BH11" i="1"/>
  <c r="BG11" i="1"/>
  <c r="BM9" i="1"/>
  <c r="BK9" i="1"/>
  <c r="BJ9" i="1"/>
  <c r="BI9" i="1"/>
  <c r="BH9" i="1"/>
  <c r="BG9" i="1"/>
  <c r="BK7" i="1"/>
  <c r="BJ7" i="1"/>
  <c r="BI7" i="1"/>
  <c r="BH7" i="1"/>
  <c r="BG7" i="1"/>
  <c r="BH5" i="1"/>
  <c r="BI5" i="1"/>
  <c r="BJ5" i="1"/>
  <c r="BK5" i="1"/>
  <c r="BM5" i="1"/>
  <c r="BG5" i="1"/>
</calcChain>
</file>

<file path=xl/sharedStrings.xml><?xml version="1.0" encoding="utf-8"?>
<sst xmlns="http://schemas.openxmlformats.org/spreadsheetml/2006/main" count="265" uniqueCount="46">
  <si>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</si>
  <si>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</si>
  <si>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</si>
  <si>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</si>
  <si>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</si>
  <si>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</si>
  <si>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</si>
  <si>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</si>
  <si>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EXTRANJERO</t>
  </si>
  <si>
    <t>HUANCAVELICA</t>
  </si>
  <si>
    <t>HUANUCO</t>
  </si>
  <si>
    <t>ICA</t>
  </si>
  <si>
    <t>JUNIN</t>
  </si>
  <si>
    <t>LA LIBERTAD</t>
  </si>
  <si>
    <t>LAMBAYEQUE</t>
  </si>
  <si>
    <t>LIMA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</si>
  <si>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</si>
  <si>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</si>
  <si>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</si>
  <si>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</si>
  <si>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</si>
  <si>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</si>
  <si>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</si>
  <si>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</si>
  <si>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</si>
  <si>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Soles Ajustados</t>
  </si>
  <si>
    <t>Soles Indexados</t>
  </si>
  <si>
    <t>Dólares Ajustados</t>
  </si>
  <si>
    <t>Dólares Nominales</t>
  </si>
  <si>
    <t>TIR</t>
  </si>
  <si>
    <t>[0-50&gt;</t>
  </si>
  <si>
    <t>[50-100&gt;</t>
  </si>
  <si>
    <t>[100-150&gt;</t>
  </si>
  <si>
    <t>[150-300&gt;</t>
  </si>
  <si>
    <t>[300-500&gt;</t>
  </si>
  <si>
    <t>[500-…&gt;</t>
  </si>
  <si>
    <t>Prd</t>
  </si>
  <si>
    <t>S</t>
  </si>
  <si>
    <t>Tasa de Venta</t>
  </si>
  <si>
    <t>IT</t>
  </si>
  <si>
    <t>IP</t>
  </si>
  <si>
    <t>JA</t>
  </si>
  <si>
    <t>JL</t>
  </si>
  <si>
    <t>CIC</t>
  </si>
  <si>
    <t>LIMA - PROVINCIAS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</si>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</sst>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/>
      <right/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10" fontId="2" fillId="0" borderId="1" xfId="0" applyNumberFormat="1" applyFont="1" applyBorder="1"/>
    <xf numFmtId="0" fontId="2" fillId="0" borderId="1" xfId="0" applyFont="1" applyFill="1" applyBorder="1"/>
    <xf numFmtId="10" fontId="2" fillId="0" borderId="1" xfId="0" applyNumberFormat="1" applyFont="1" applyFill="1" applyBorder="1"/>
    <xf numFmtId="10" fontId="2" fillId="0" borderId="0" xfId="0" applyNumberFormat="1" applyFont="1"/>
    <xf numFmtId="0" fontId="2" fillId="0" borderId="1" xfId="0" applyFont="1" applyBorder="1" applyAlignment="1">
      <alignment horizontal="center"/>
    </xf>
    <xf numFmtId="10" fontId="3" fillId="0" borderId="1" xfId="1" applyNumberFormat="1" applyFont="1" applyFill="1" applyBorder="1"/>
    <xf numFmtId="10" fontId="3" fillId="2" borderId="1" xfId="1" applyNumberFormat="1" applyFont="1" applyFill="1" applyBorder="1"/>
    <xf numFmtId="10" fontId="4" fillId="0" borderId="1" xfId="0" applyNumberFormat="1" applyFont="1" applyBorder="1"/>
    <xf numFmtId="10" fontId="3" fillId="3" borderId="1" xfId="1" applyNumberFormat="1" applyFont="1" applyFill="1" applyBorder="1"/>
    <xf numFmtId="10" fontId="5" fillId="0" borderId="1" xfId="1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piral">
  <a:themeElements>
    <a:clrScheme name="Espiral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Espiral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Espiral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GB30"/>
  <sheetViews>
    <sheetView tabSelected="1" topLeftCell="FF1" workbookViewId="0">
      <selection activeCell="GC11" sqref="GC11"/>
    </sheetView>
  </sheetViews>
  <sheetFormatPr baseColWidth="10" defaultRowHeight="15" x14ac:dyDescent="0.25"/>
  <cols>
    <col min="1" max="1" width="8.25" style="1" bestFit="1" customWidth="1"/>
    <col min="2" max="2" width="16" style="1" bestFit="1" customWidth="1"/>
    <col min="3" max="3" width="5.25" style="1" bestFit="1" customWidth="1"/>
    <col min="4" max="4" width="5.25" style="1" customWidth="1"/>
    <col min="5" max="6" width="5.25" style="1" bestFit="1" customWidth="1"/>
    <col min="7" max="7" width="5.25" style="1" customWidth="1"/>
    <col min="8" max="9" width="6" style="1" customWidth="1"/>
    <col min="10" max="10" width="5.75" style="1" customWidth="1"/>
    <col min="11" max="11" width="4.875" style="1" customWidth="1"/>
    <col min="12" max="12" width="4.75" style="1" customWidth="1"/>
    <col min="13" max="16" width="6" style="1" customWidth="1"/>
    <col min="17" max="18" width="5.625" style="1" customWidth="1"/>
    <col min="19" max="21" width="6.625" style="1" customWidth="1"/>
    <col min="22" max="23" width="6" style="1" customWidth="1"/>
    <col min="24" max="25" width="6.375" style="1" customWidth="1"/>
    <col min="26" max="26" width="6.625" style="1" customWidth="1"/>
    <col min="27" max="30" width="6" style="1" customWidth="1"/>
    <col min="31" max="32" width="6.75" style="1" customWidth="1"/>
    <col min="33" max="33" width="6.625" style="1" customWidth="1"/>
    <col min="34" max="35" width="5.5" style="1" customWidth="1"/>
    <col min="36" max="36" width="4.5" style="1" customWidth="1"/>
    <col min="37" max="37" width="4.875" style="1" customWidth="1"/>
    <col min="38" max="39" width="5" style="1" customWidth="1"/>
    <col min="40" max="40" width="6.625" style="1" customWidth="1"/>
    <col min="41" max="42" width="5.5" style="1" customWidth="1"/>
    <col min="43" max="43" width="4.5" style="1" customWidth="1"/>
    <col min="44" max="44" width="4.875" style="1" customWidth="1"/>
    <col min="45" max="46" width="5" style="1" customWidth="1"/>
    <col min="47" max="47" width="6.625" style="1" customWidth="1"/>
    <col min="48" max="49" width="5.5" style="1" customWidth="1"/>
    <col min="50" max="50" width="4.5" style="1" customWidth="1"/>
    <col min="51" max="51" width="4.875" style="1" customWidth="1"/>
    <col min="52" max="53" width="5" style="1" customWidth="1"/>
    <col min="54" max="54" width="6.625" style="1" customWidth="1"/>
    <col min="55" max="56" width="5.5" style="1" customWidth="1"/>
    <col min="57" max="57" width="4.5" style="1" customWidth="1"/>
    <col min="58" max="58" width="4.875" style="1" customWidth="1"/>
    <col min="59" max="63" width="5.375" style="1" bestFit="1" customWidth="1"/>
    <col min="64" max="64" width="6.25" style="1" bestFit="1" customWidth="1"/>
    <col min="65" max="65" width="6" style="1" bestFit="1" customWidth="1"/>
    <col min="66" max="67" width="5" style="1" customWidth="1"/>
    <col min="68" max="68" width="6.625" style="1" customWidth="1"/>
    <col min="69" max="70" width="5.5" style="1" customWidth="1"/>
    <col min="71" max="71" width="4.5" style="1" customWidth="1"/>
    <col min="72" max="72" width="4.875" style="1" customWidth="1"/>
    <col min="73" max="74" width="5" style="1" customWidth="1"/>
    <col min="75" max="75" width="6.625" style="1" customWidth="1"/>
    <col min="76" max="77" width="5.5" style="1" customWidth="1"/>
    <col min="78" max="78" width="4.5" style="1" customWidth="1"/>
    <col min="79" max="79" width="4.875" style="1" customWidth="1"/>
    <col min="80" max="81" width="5" style="1" customWidth="1"/>
    <col min="82" max="82" width="6.625" style="1" customWidth="1"/>
    <col min="83" max="84" width="5.5" style="1" customWidth="1"/>
    <col min="85" max="85" width="4.5" style="1" customWidth="1"/>
    <col min="86" max="86" width="4.875" style="1" customWidth="1"/>
    <col min="87" max="88" width="5" style="1" customWidth="1"/>
    <col min="89" max="89" width="6.625" style="1" customWidth="1"/>
    <col min="90" max="91" width="5.5" style="1" customWidth="1"/>
    <col min="92" max="92" width="4.5" style="1" customWidth="1"/>
    <col min="93" max="93" width="4.875" style="1" customWidth="1"/>
    <col min="94" max="95" width="5" style="1" customWidth="1"/>
    <col min="96" max="96" width="6.625" style="1" customWidth="1"/>
    <col min="97" max="98" width="5.5" style="1" customWidth="1"/>
    <col min="99" max="99" width="4.5" style="1" customWidth="1"/>
    <col min="100" max="100" width="4.875" style="1" customWidth="1"/>
    <col min="101" max="102" width="5" style="1" customWidth="1"/>
    <col min="103" max="103" width="6.625" style="1" customWidth="1"/>
    <col min="104" max="105" width="5.5" style="1" customWidth="1"/>
    <col min="106" max="106" width="4.5" style="1" customWidth="1"/>
    <col min="107" max="107" width="4.875" style="1" customWidth="1"/>
    <col min="108" max="109" width="5" style="1" customWidth="1"/>
    <col min="110" max="110" width="6.625" style="1" customWidth="1"/>
    <col min="111" max="112" width="5.5" style="1" customWidth="1"/>
    <col min="113" max="113" width="4.5" style="1" customWidth="1"/>
    <col min="114" max="114" width="4.875" style="1" customWidth="1"/>
    <col min="115" max="116" width="5" style="1" customWidth="1"/>
    <col min="117" max="117" width="6.625" style="1" customWidth="1"/>
    <col min="118" max="119" width="5.5" style="1" customWidth="1"/>
    <col min="120" max="120" width="4.5" style="1" customWidth="1"/>
    <col min="121" max="121" width="4.875" style="1" customWidth="1"/>
    <col min="122" max="123" width="5" style="1" customWidth="1"/>
    <col min="124" max="124" width="6.625" style="1" customWidth="1"/>
    <col min="125" max="126" width="5.5" style="1" customWidth="1"/>
    <col min="127" max="127" width="4.5" style="1" customWidth="1"/>
    <col min="128" max="128" width="4.875" style="1" customWidth="1"/>
    <col min="129" max="133" width="6" style="1" bestFit="1" customWidth="1"/>
    <col min="134" max="134" width="6.25" style="1" bestFit="1" customWidth="1"/>
    <col min="135" max="135" width="6" style="1" bestFit="1" customWidth="1"/>
    <col min="136" max="137" width="5" style="1" customWidth="1"/>
    <col min="138" max="138" width="6.625" style="1" customWidth="1"/>
    <col min="139" max="140" width="5.5" style="1" customWidth="1"/>
    <col min="141" max="141" width="4.5" style="1" customWidth="1"/>
    <col min="142" max="142" width="4.875" style="1" customWidth="1"/>
    <col min="143" max="144" width="5" style="1" customWidth="1"/>
    <col min="145" max="145" width="6.625" style="1" customWidth="1"/>
    <col min="146" max="147" width="5.5" style="1" customWidth="1"/>
    <col min="148" max="148" width="4.5" style="1" customWidth="1"/>
    <col min="149" max="149" width="4.875" style="1" customWidth="1"/>
    <col min="150" max="151" width="5" style="1" customWidth="1"/>
    <col min="152" max="152" width="6.625" style="1" customWidth="1"/>
    <col min="153" max="154" width="5.5" style="1" customWidth="1"/>
    <col min="155" max="155" width="4.5" style="1" customWidth="1"/>
    <col min="156" max="156" width="4.875" style="1" customWidth="1"/>
    <col min="157" max="158" width="5" style="1" customWidth="1"/>
    <col min="159" max="159" width="6.625" style="1" customWidth="1"/>
    <col min="160" max="161" width="5.5" style="1" customWidth="1"/>
    <col min="162" max="162" width="4.5" style="1" customWidth="1"/>
    <col min="163" max="163" width="4.875" style="1" customWidth="1"/>
    <col min="164" max="165" width="5" style="1" customWidth="1"/>
    <col min="166" max="166" width="6.625" style="1" customWidth="1"/>
    <col min="167" max="168" width="5.5" style="1" customWidth="1"/>
    <col min="169" max="169" width="4.5" style="1" customWidth="1"/>
    <col min="170" max="170" width="4.875" style="1" customWidth="1"/>
    <col min="171" max="172" width="5" style="1" customWidth="1"/>
    <col min="173" max="173" width="6.625" style="1" customWidth="1"/>
    <col min="174" max="175" width="6.25" style="1" customWidth="1"/>
    <col min="176" max="176" width="4.5" style="1" customWidth="1"/>
    <col min="177" max="177" width="4.875" style="1" customWidth="1"/>
    <col min="178" max="178" width="7.875" style="1" customWidth="1"/>
    <col min="179" max="180" width="8.75" style="1" customWidth="1"/>
    <col min="181" max="181" width="8.125" style="1" customWidth="1"/>
    <col min="182" max="183" width="8" style="1" customWidth="1"/>
    <col min="184" max="184" width="6.75" style="1" customWidth="1"/>
    <col min="185" max="16384" width="11" style="1"/>
  </cols>
  <sheetData>
    <row r="2" spans="1:184" x14ac:dyDescent="0.25">
      <c r="C2" s="19" t="s">
        <v>15</v>
      </c>
      <c r="D2" s="19"/>
      <c r="E2" s="19"/>
      <c r="F2" s="19"/>
      <c r="G2" s="19"/>
      <c r="H2" s="19"/>
      <c r="I2" s="19"/>
      <c r="J2" s="19" t="s">
        <v>0</v>
      </c>
      <c r="K2" s="19"/>
      <c r="L2" s="19"/>
      <c r="M2" s="19"/>
      <c r="N2" s="19"/>
      <c r="O2" s="19"/>
      <c r="P2" s="19"/>
      <c r="Q2" s="19" t="s">
        <v>1</v>
      </c>
      <c r="R2" s="19"/>
      <c r="S2" s="19"/>
      <c r="T2" s="19"/>
      <c r="U2" s="19"/>
      <c r="V2" s="19"/>
      <c r="W2" s="19"/>
      <c r="X2" s="19" t="s">
        <v>2</v>
      </c>
      <c r="Y2" s="19"/>
      <c r="Z2" s="19"/>
      <c r="AA2" s="19"/>
      <c r="AB2" s="19"/>
      <c r="AC2" s="19"/>
      <c r="AD2" s="19"/>
      <c r="AE2" s="19" t="s">
        <v>3</v>
      </c>
      <c r="AF2" s="19"/>
      <c r="AG2" s="19"/>
      <c r="AH2" s="19"/>
      <c r="AI2" s="19"/>
      <c r="AJ2" s="19"/>
      <c r="AK2" s="19"/>
      <c r="AL2" s="19" t="s">
        <v>4</v>
      </c>
      <c r="AM2" s="19"/>
      <c r="AN2" s="19"/>
      <c r="AO2" s="19"/>
      <c r="AP2" s="19"/>
      <c r="AQ2" s="19"/>
      <c r="AR2" s="19"/>
      <c r="AS2" s="19" t="s">
        <v>5</v>
      </c>
      <c r="AT2" s="19"/>
      <c r="AU2" s="19"/>
      <c r="AV2" s="19"/>
      <c r="AW2" s="19"/>
      <c r="AX2" s="19"/>
      <c r="AY2" s="19"/>
      <c r="AZ2" s="19" t="s">
        <v>6</v>
      </c>
      <c r="BA2" s="19"/>
      <c r="BB2" s="19"/>
      <c r="BC2" s="19"/>
      <c r="BD2" s="19"/>
      <c r="BE2" s="19"/>
      <c r="BF2" s="19"/>
      <c r="BG2" s="19" t="s">
        <v>7</v>
      </c>
      <c r="BH2" s="19"/>
      <c r="BI2" s="19"/>
      <c r="BJ2" s="19"/>
      <c r="BK2" s="19"/>
      <c r="BL2" s="19"/>
      <c r="BM2" s="19"/>
      <c r="BN2" s="19" t="s">
        <v>9</v>
      </c>
      <c r="BO2" s="19"/>
      <c r="BP2" s="19"/>
      <c r="BQ2" s="19"/>
      <c r="BR2" s="19"/>
      <c r="BS2" s="19"/>
      <c r="BT2" s="19"/>
      <c r="BU2" s="19" t="s">
        <v>10</v>
      </c>
      <c r="BV2" s="19"/>
      <c r="BW2" s="19"/>
      <c r="BX2" s="19"/>
      <c r="BY2" s="19"/>
      <c r="BZ2" s="19"/>
      <c r="CA2" s="19"/>
      <c r="CB2" s="19" t="s">
        <v>11</v>
      </c>
      <c r="CC2" s="19"/>
      <c r="CD2" s="19"/>
      <c r="CE2" s="19"/>
      <c r="CF2" s="19"/>
      <c r="CG2" s="19"/>
      <c r="CH2" s="19"/>
      <c r="CI2" s="19" t="s">
        <v>12</v>
      </c>
      <c r="CJ2" s="19"/>
      <c r="CK2" s="19"/>
      <c r="CL2" s="19"/>
      <c r="CM2" s="19"/>
      <c r="CN2" s="19"/>
      <c r="CO2" s="19"/>
      <c r="CP2" s="19" t="s">
        <v>13</v>
      </c>
      <c r="CQ2" s="19"/>
      <c r="CR2" s="19"/>
      <c r="CS2" s="19"/>
      <c r="CT2" s="19"/>
      <c r="CU2" s="19"/>
      <c r="CV2" s="19"/>
      <c r="CW2" s="19" t="s">
        <v>14</v>
      </c>
      <c r="CX2" s="19"/>
      <c r="CY2" s="19"/>
      <c r="CZ2" s="19"/>
      <c r="DA2" s="19"/>
      <c r="DB2" s="19"/>
      <c r="DC2" s="19"/>
      <c r="DD2" s="19" t="s">
        <v>16</v>
      </c>
      <c r="DE2" s="19"/>
      <c r="DF2" s="19"/>
      <c r="DG2" s="19"/>
      <c r="DH2" s="19"/>
      <c r="DI2" s="19"/>
      <c r="DJ2" s="19"/>
      <c r="DK2" s="19" t="s">
        <v>17</v>
      </c>
      <c r="DL2" s="19"/>
      <c r="DM2" s="19"/>
      <c r="DN2" s="19"/>
      <c r="DO2" s="19"/>
      <c r="DP2" s="19"/>
      <c r="DQ2" s="19"/>
      <c r="DR2" s="19" t="s">
        <v>18</v>
      </c>
      <c r="DS2" s="19"/>
      <c r="DT2" s="19"/>
      <c r="DU2" s="19"/>
      <c r="DV2" s="19"/>
      <c r="DW2" s="19"/>
      <c r="DX2" s="19"/>
      <c r="DY2" s="19" t="s">
        <v>19</v>
      </c>
      <c r="DZ2" s="19"/>
      <c r="EA2" s="19"/>
      <c r="EB2" s="19"/>
      <c r="EC2" s="19"/>
      <c r="ED2" s="19"/>
      <c r="EE2" s="19"/>
      <c r="EF2" s="19" t="s">
        <v>20</v>
      </c>
      <c r="EG2" s="19"/>
      <c r="EH2" s="19"/>
      <c r="EI2" s="19"/>
      <c r="EJ2" s="19"/>
      <c r="EK2" s="19"/>
      <c r="EL2" s="19"/>
      <c r="EM2" s="19" t="s">
        <v>21</v>
      </c>
      <c r="EN2" s="19"/>
      <c r="EO2" s="19"/>
      <c r="EP2" s="19"/>
      <c r="EQ2" s="19"/>
      <c r="ER2" s="19"/>
      <c r="ES2" s="19"/>
      <c r="ET2" s="19" t="s">
        <v>22</v>
      </c>
      <c r="EU2" s="19"/>
      <c r="EV2" s="19"/>
      <c r="EW2" s="19"/>
      <c r="EX2" s="19"/>
      <c r="EY2" s="19"/>
      <c r="EZ2" s="19"/>
      <c r="FA2" s="19" t="s">
        <v>23</v>
      </c>
      <c r="FB2" s="19"/>
      <c r="FC2" s="19"/>
      <c r="FD2" s="19"/>
      <c r="FE2" s="19"/>
      <c r="FF2" s="19"/>
      <c r="FG2" s="19"/>
      <c r="FH2" s="19" t="s">
        <v>24</v>
      </c>
      <c r="FI2" s="19"/>
      <c r="FJ2" s="19"/>
      <c r="FK2" s="19"/>
      <c r="FL2" s="19"/>
      <c r="FM2" s="19"/>
      <c r="FN2" s="19"/>
      <c r="FO2" s="19" t="s">
        <v>8</v>
      </c>
      <c r="FP2" s="19"/>
      <c r="FQ2" s="19"/>
      <c r="FR2" s="19"/>
      <c r="FS2" s="19"/>
      <c r="FT2" s="19"/>
      <c r="FU2" s="19"/>
      <c r="FV2" s="19" t="s">
        <v>45</v>
      </c>
      <c r="FW2" s="21"/>
      <c r="FX2" s="21"/>
      <c r="FY2" s="21"/>
      <c r="FZ2" s="21"/>
      <c r="GA2" s="21"/>
      <c r="GB2" s="22"/>
    </row>
    <row r="3" spans="1:184" x14ac:dyDescent="0.25">
      <c r="A3" s="2"/>
      <c r="B3" s="3" t="s">
        <v>44</v>
      </c>
      <c r="C3" s="20" t="s">
        <v>38</v>
      </c>
      <c r="D3" s="21"/>
      <c r="E3" s="21"/>
      <c r="F3" s="21"/>
      <c r="G3" s="22"/>
      <c r="H3" s="18" t="s">
        <v>29</v>
      </c>
      <c r="I3" s="18" t="s">
        <v>36</v>
      </c>
      <c r="J3" s="20" t="s">
        <v>38</v>
      </c>
      <c r="K3" s="21"/>
      <c r="L3" s="21"/>
      <c r="M3" s="21"/>
      <c r="N3" s="22"/>
      <c r="O3" s="18" t="s">
        <v>29</v>
      </c>
      <c r="P3" s="18" t="s">
        <v>36</v>
      </c>
      <c r="Q3" s="20" t="s">
        <v>38</v>
      </c>
      <c r="R3" s="21"/>
      <c r="S3" s="21"/>
      <c r="T3" s="21"/>
      <c r="U3" s="22"/>
      <c r="V3" s="18" t="s">
        <v>29</v>
      </c>
      <c r="W3" s="18" t="s">
        <v>36</v>
      </c>
      <c r="X3" s="20" t="s">
        <v>38</v>
      </c>
      <c r="Y3" s="21"/>
      <c r="Z3" s="21"/>
      <c r="AA3" s="21"/>
      <c r="AB3" s="22"/>
      <c r="AC3" s="18" t="s">
        <v>29</v>
      </c>
      <c r="AD3" s="18" t="s">
        <v>36</v>
      </c>
      <c r="AE3" s="20" t="s">
        <v>38</v>
      </c>
      <c r="AF3" s="21"/>
      <c r="AG3" s="21"/>
      <c r="AH3" s="21"/>
      <c r="AI3" s="22"/>
      <c r="AJ3" s="18" t="s">
        <v>29</v>
      </c>
      <c r="AK3" s="18" t="s">
        <v>36</v>
      </c>
      <c r="AL3" s="20" t="s">
        <v>38</v>
      </c>
      <c r="AM3" s="21"/>
      <c r="AN3" s="21"/>
      <c r="AO3" s="21"/>
      <c r="AP3" s="22"/>
      <c r="AQ3" s="18" t="s">
        <v>29</v>
      </c>
      <c r="AR3" s="18" t="s">
        <v>36</v>
      </c>
      <c r="AS3" s="20" t="s">
        <v>38</v>
      </c>
      <c r="AT3" s="21"/>
      <c r="AU3" s="21"/>
      <c r="AV3" s="21"/>
      <c r="AW3" s="22"/>
      <c r="AX3" s="18" t="s">
        <v>29</v>
      </c>
      <c r="AY3" s="18" t="s">
        <v>36</v>
      </c>
      <c r="AZ3" s="20" t="s">
        <v>38</v>
      </c>
      <c r="BA3" s="21"/>
      <c r="BB3" s="21"/>
      <c r="BC3" s="21"/>
      <c r="BD3" s="22"/>
      <c r="BE3" s="18" t="s">
        <v>29</v>
      </c>
      <c r="BF3" s="18" t="s">
        <v>36</v>
      </c>
      <c r="BG3" s="20" t="s">
        <v>38</v>
      </c>
      <c r="BH3" s="21"/>
      <c r="BI3" s="21"/>
      <c r="BJ3" s="21"/>
      <c r="BK3" s="22"/>
      <c r="BL3" s="18" t="s">
        <v>29</v>
      </c>
      <c r="BM3" s="18" t="s">
        <v>36</v>
      </c>
      <c r="BN3" s="20" t="s">
        <v>38</v>
      </c>
      <c r="BO3" s="21"/>
      <c r="BP3" s="21"/>
      <c r="BQ3" s="21"/>
      <c r="BR3" s="22"/>
      <c r="BS3" s="18" t="s">
        <v>29</v>
      </c>
      <c r="BT3" s="18" t="s">
        <v>36</v>
      </c>
      <c r="BU3" s="20" t="s">
        <v>38</v>
      </c>
      <c r="BV3" s="21"/>
      <c r="BW3" s="21"/>
      <c r="BX3" s="21"/>
      <c r="BY3" s="22"/>
      <c r="BZ3" s="18" t="s">
        <v>29</v>
      </c>
      <c r="CA3" s="18" t="s">
        <v>36</v>
      </c>
      <c r="CB3" s="20" t="s">
        <v>38</v>
      </c>
      <c r="CC3" s="21"/>
      <c r="CD3" s="21"/>
      <c r="CE3" s="21"/>
      <c r="CF3" s="22"/>
      <c r="CG3" s="18" t="s">
        <v>29</v>
      </c>
      <c r="CH3" s="18" t="s">
        <v>36</v>
      </c>
      <c r="CI3" s="20" t="s">
        <v>38</v>
      </c>
      <c r="CJ3" s="21"/>
      <c r="CK3" s="21"/>
      <c r="CL3" s="21"/>
      <c r="CM3" s="22"/>
      <c r="CN3" s="18" t="s">
        <v>29</v>
      </c>
      <c r="CO3" s="18" t="s">
        <v>36</v>
      </c>
      <c r="CP3" s="20" t="s">
        <v>38</v>
      </c>
      <c r="CQ3" s="21"/>
      <c r="CR3" s="21"/>
      <c r="CS3" s="21"/>
      <c r="CT3" s="22"/>
      <c r="CU3" s="18" t="s">
        <v>29</v>
      </c>
      <c r="CV3" s="18" t="s">
        <v>36</v>
      </c>
      <c r="CW3" s="20" t="s">
        <v>38</v>
      </c>
      <c r="CX3" s="21"/>
      <c r="CY3" s="21"/>
      <c r="CZ3" s="21"/>
      <c r="DA3" s="22"/>
      <c r="DB3" s="18" t="s">
        <v>29</v>
      </c>
      <c r="DC3" s="18" t="s">
        <v>36</v>
      </c>
      <c r="DD3" s="20" t="s">
        <v>38</v>
      </c>
      <c r="DE3" s="21"/>
      <c r="DF3" s="21"/>
      <c r="DG3" s="21"/>
      <c r="DH3" s="22"/>
      <c r="DI3" s="18" t="s">
        <v>29</v>
      </c>
      <c r="DJ3" s="18" t="s">
        <v>36</v>
      </c>
      <c r="DK3" s="20" t="s">
        <v>38</v>
      </c>
      <c r="DL3" s="21"/>
      <c r="DM3" s="21"/>
      <c r="DN3" s="21"/>
      <c r="DO3" s="22"/>
      <c r="DP3" s="18" t="s">
        <v>29</v>
      </c>
      <c r="DQ3" s="18" t="s">
        <v>36</v>
      </c>
      <c r="DR3" s="20" t="s">
        <v>38</v>
      </c>
      <c r="DS3" s="21"/>
      <c r="DT3" s="21"/>
      <c r="DU3" s="21"/>
      <c r="DV3" s="22"/>
      <c r="DW3" s="18" t="s">
        <v>29</v>
      </c>
      <c r="DX3" s="18" t="s">
        <v>36</v>
      </c>
      <c r="DY3" s="20" t="s">
        <v>38</v>
      </c>
      <c r="DZ3" s="21"/>
      <c r="EA3" s="21"/>
      <c r="EB3" s="21"/>
      <c r="EC3" s="22"/>
      <c r="ED3" s="18" t="s">
        <v>29</v>
      </c>
      <c r="EE3" s="18" t="s">
        <v>36</v>
      </c>
      <c r="EF3" s="20" t="s">
        <v>38</v>
      </c>
      <c r="EG3" s="21"/>
      <c r="EH3" s="21"/>
      <c r="EI3" s="21"/>
      <c r="EJ3" s="22"/>
      <c r="EK3" s="18" t="s">
        <v>29</v>
      </c>
      <c r="EL3" s="18" t="s">
        <v>36</v>
      </c>
      <c r="EM3" s="20" t="s">
        <v>38</v>
      </c>
      <c r="EN3" s="21"/>
      <c r="EO3" s="21"/>
      <c r="EP3" s="21"/>
      <c r="EQ3" s="22"/>
      <c r="ER3" s="18" t="s">
        <v>29</v>
      </c>
      <c r="ES3" s="18" t="s">
        <v>36</v>
      </c>
      <c r="ET3" s="20" t="s">
        <v>38</v>
      </c>
      <c r="EU3" s="21"/>
      <c r="EV3" s="21"/>
      <c r="EW3" s="21"/>
      <c r="EX3" s="22"/>
      <c r="EY3" s="18"/>
      <c r="EZ3" s="18" t="s">
        <v>36</v>
      </c>
      <c r="FA3" s="20" t="s">
        <v>38</v>
      </c>
      <c r="FB3" s="21"/>
      <c r="FC3" s="21"/>
      <c r="FD3" s="21"/>
      <c r="FE3" s="22"/>
      <c r="FF3" s="18" t="s">
        <v>29</v>
      </c>
      <c r="FG3" s="18" t="s">
        <v>36</v>
      </c>
      <c r="FH3" s="20" t="s">
        <v>38</v>
      </c>
      <c r="FI3" s="21"/>
      <c r="FJ3" s="21"/>
      <c r="FK3" s="21"/>
      <c r="FL3" s="22"/>
      <c r="FM3" s="18" t="s">
        <v>29</v>
      </c>
      <c r="FN3" s="18" t="s">
        <v>36</v>
      </c>
      <c r="FO3" s="20" t="s">
        <v>38</v>
      </c>
      <c r="FP3" s="21"/>
      <c r="FQ3" s="21"/>
      <c r="FR3" s="21"/>
      <c r="FS3" s="22"/>
      <c r="FT3" s="18" t="s">
        <v>29</v>
      </c>
      <c r="FU3" s="18" t="s">
        <v>36</v>
      </c>
      <c r="FV3" s="20" t="s">
        <v>38</v>
      </c>
      <c r="FW3" s="21"/>
      <c r="FX3" s="21"/>
      <c r="FY3" s="21"/>
      <c r="FZ3" s="22"/>
      <c r="GA3" s="23" t="s">
        <v>29</v>
      </c>
      <c r="GB3" s="23" t="s">
        <v>36</v>
      </c>
    </row>
    <row r="4" spans="1:184" x14ac:dyDescent="0.25">
      <c r="A4" s="4" t="s">
        <v>43</v>
      </c>
      <c r="B4" s="5"/>
      <c r="C4" s="11" t="s">
        <v>39</v>
      </c>
      <c r="D4" s="11" t="s">
        <v>40</v>
      </c>
      <c r="E4" s="11" t="s">
        <v>37</v>
      </c>
      <c r="F4" s="11" t="s">
        <v>41</v>
      </c>
      <c r="G4" s="11" t="s">
        <v>42</v>
      </c>
      <c r="H4" s="18"/>
      <c r="I4" s="18"/>
      <c r="J4" s="11" t="s">
        <v>39</v>
      </c>
      <c r="K4" s="11" t="s">
        <v>40</v>
      </c>
      <c r="L4" s="11" t="s">
        <v>37</v>
      </c>
      <c r="M4" s="11" t="s">
        <v>41</v>
      </c>
      <c r="N4" s="11" t="s">
        <v>42</v>
      </c>
      <c r="O4" s="18"/>
      <c r="P4" s="18"/>
      <c r="Q4" s="11" t="s">
        <v>39</v>
      </c>
      <c r="R4" s="11" t="s">
        <v>40</v>
      </c>
      <c r="S4" s="11" t="s">
        <v>37</v>
      </c>
      <c r="T4" s="11" t="s">
        <v>41</v>
      </c>
      <c r="U4" s="11" t="s">
        <v>42</v>
      </c>
      <c r="V4" s="18"/>
      <c r="W4" s="18"/>
      <c r="X4" s="11" t="s">
        <v>39</v>
      </c>
      <c r="Y4" s="11" t="s">
        <v>40</v>
      </c>
      <c r="Z4" s="11" t="s">
        <v>37</v>
      </c>
      <c r="AA4" s="11" t="s">
        <v>41</v>
      </c>
      <c r="AB4" s="11" t="s">
        <v>42</v>
      </c>
      <c r="AC4" s="18"/>
      <c r="AD4" s="18"/>
      <c r="AE4" s="11" t="s">
        <v>39</v>
      </c>
      <c r="AF4" s="11" t="s">
        <v>40</v>
      </c>
      <c r="AG4" s="11" t="s">
        <v>37</v>
      </c>
      <c r="AH4" s="11" t="s">
        <v>41</v>
      </c>
      <c r="AI4" s="11" t="s">
        <v>42</v>
      </c>
      <c r="AJ4" s="18"/>
      <c r="AK4" s="18"/>
      <c r="AL4" s="11" t="s">
        <v>39</v>
      </c>
      <c r="AM4" s="11" t="s">
        <v>40</v>
      </c>
      <c r="AN4" s="11" t="s">
        <v>37</v>
      </c>
      <c r="AO4" s="11" t="s">
        <v>41</v>
      </c>
      <c r="AP4" s="11" t="s">
        <v>42</v>
      </c>
      <c r="AQ4" s="18"/>
      <c r="AR4" s="18"/>
      <c r="AS4" s="11" t="s">
        <v>39</v>
      </c>
      <c r="AT4" s="11" t="s">
        <v>40</v>
      </c>
      <c r="AU4" s="11" t="s">
        <v>37</v>
      </c>
      <c r="AV4" s="11" t="s">
        <v>41</v>
      </c>
      <c r="AW4" s="11" t="s">
        <v>42</v>
      </c>
      <c r="AX4" s="18"/>
      <c r="AY4" s="18"/>
      <c r="AZ4" s="11" t="s">
        <v>39</v>
      </c>
      <c r="BA4" s="11" t="s">
        <v>40</v>
      </c>
      <c r="BB4" s="11" t="s">
        <v>37</v>
      </c>
      <c r="BC4" s="11" t="s">
        <v>41</v>
      </c>
      <c r="BD4" s="11" t="s">
        <v>42</v>
      </c>
      <c r="BE4" s="18"/>
      <c r="BF4" s="18"/>
      <c r="BG4" s="11" t="s">
        <v>39</v>
      </c>
      <c r="BH4" s="11" t="s">
        <v>40</v>
      </c>
      <c r="BI4" s="11" t="s">
        <v>37</v>
      </c>
      <c r="BJ4" s="11" t="s">
        <v>41</v>
      </c>
      <c r="BK4" s="11" t="s">
        <v>42</v>
      </c>
      <c r="BL4" s="18"/>
      <c r="BM4" s="18"/>
      <c r="BN4" s="11" t="s">
        <v>39</v>
      </c>
      <c r="BO4" s="11" t="s">
        <v>40</v>
      </c>
      <c r="BP4" s="11" t="s">
        <v>37</v>
      </c>
      <c r="BQ4" s="11" t="s">
        <v>41</v>
      </c>
      <c r="BR4" s="11" t="s">
        <v>42</v>
      </c>
      <c r="BS4" s="18"/>
      <c r="BT4" s="18"/>
      <c r="BU4" s="11" t="s">
        <v>39</v>
      </c>
      <c r="BV4" s="11" t="s">
        <v>40</v>
      </c>
      <c r="BW4" s="11" t="s">
        <v>37</v>
      </c>
      <c r="BX4" s="11" t="s">
        <v>41</v>
      </c>
      <c r="BY4" s="11" t="s">
        <v>42</v>
      </c>
      <c r="BZ4" s="18"/>
      <c r="CA4" s="18"/>
      <c r="CB4" s="11" t="s">
        <v>39</v>
      </c>
      <c r="CC4" s="11" t="s">
        <v>40</v>
      </c>
      <c r="CD4" s="11" t="s">
        <v>37</v>
      </c>
      <c r="CE4" s="11" t="s">
        <v>41</v>
      </c>
      <c r="CF4" s="11" t="s">
        <v>42</v>
      </c>
      <c r="CG4" s="18"/>
      <c r="CH4" s="18"/>
      <c r="CI4" s="11" t="s">
        <v>39</v>
      </c>
      <c r="CJ4" s="11" t="s">
        <v>40</v>
      </c>
      <c r="CK4" s="11" t="s">
        <v>37</v>
      </c>
      <c r="CL4" s="11" t="s">
        <v>41</v>
      </c>
      <c r="CM4" s="11" t="s">
        <v>42</v>
      </c>
      <c r="CN4" s="18"/>
      <c r="CO4" s="18"/>
      <c r="CP4" s="11" t="s">
        <v>39</v>
      </c>
      <c r="CQ4" s="11" t="s">
        <v>40</v>
      </c>
      <c r="CR4" s="11" t="s">
        <v>37</v>
      </c>
      <c r="CS4" s="11" t="s">
        <v>41</v>
      </c>
      <c r="CT4" s="11" t="s">
        <v>42</v>
      </c>
      <c r="CU4" s="18"/>
      <c r="CV4" s="18"/>
      <c r="CW4" s="11" t="s">
        <v>39</v>
      </c>
      <c r="CX4" s="11" t="s">
        <v>40</v>
      </c>
      <c r="CY4" s="11" t="s">
        <v>37</v>
      </c>
      <c r="CZ4" s="11" t="s">
        <v>41</v>
      </c>
      <c r="DA4" s="11" t="s">
        <v>42</v>
      </c>
      <c r="DB4" s="18"/>
      <c r="DC4" s="18"/>
      <c r="DD4" s="11" t="s">
        <v>39</v>
      </c>
      <c r="DE4" s="11" t="s">
        <v>40</v>
      </c>
      <c r="DF4" s="11" t="s">
        <v>37</v>
      </c>
      <c r="DG4" s="11" t="s">
        <v>41</v>
      </c>
      <c r="DH4" s="11" t="s">
        <v>42</v>
      </c>
      <c r="DI4" s="18"/>
      <c r="DJ4" s="18"/>
      <c r="DK4" s="11" t="s">
        <v>39</v>
      </c>
      <c r="DL4" s="11" t="s">
        <v>40</v>
      </c>
      <c r="DM4" s="11" t="s">
        <v>37</v>
      </c>
      <c r="DN4" s="11" t="s">
        <v>41</v>
      </c>
      <c r="DO4" s="11" t="s">
        <v>42</v>
      </c>
      <c r="DP4" s="18"/>
      <c r="DQ4" s="18"/>
      <c r="DR4" s="11" t="s">
        <v>39</v>
      </c>
      <c r="DS4" s="11" t="s">
        <v>40</v>
      </c>
      <c r="DT4" s="11" t="s">
        <v>37</v>
      </c>
      <c r="DU4" s="11" t="s">
        <v>41</v>
      </c>
      <c r="DV4" s="11" t="s">
        <v>42</v>
      </c>
      <c r="DW4" s="18"/>
      <c r="DX4" s="18"/>
      <c r="DY4" s="11" t="s">
        <v>39</v>
      </c>
      <c r="DZ4" s="11" t="s">
        <v>40</v>
      </c>
      <c r="EA4" s="11" t="s">
        <v>37</v>
      </c>
      <c r="EB4" s="11" t="s">
        <v>41</v>
      </c>
      <c r="EC4" s="11" t="s">
        <v>42</v>
      </c>
      <c r="ED4" s="18"/>
      <c r="EE4" s="18"/>
      <c r="EF4" s="11" t="s">
        <v>39</v>
      </c>
      <c r="EG4" s="11" t="s">
        <v>40</v>
      </c>
      <c r="EH4" s="11" t="s">
        <v>37</v>
      </c>
      <c r="EI4" s="11" t="s">
        <v>41</v>
      </c>
      <c r="EJ4" s="11" t="s">
        <v>42</v>
      </c>
      <c r="EK4" s="18"/>
      <c r="EL4" s="18"/>
      <c r="EM4" s="11" t="s">
        <v>39</v>
      </c>
      <c r="EN4" s="11" t="s">
        <v>40</v>
      </c>
      <c r="EO4" s="11" t="s">
        <v>37</v>
      </c>
      <c r="EP4" s="11" t="s">
        <v>41</v>
      </c>
      <c r="EQ4" s="11" t="s">
        <v>42</v>
      </c>
      <c r="ER4" s="18"/>
      <c r="ES4" s="18"/>
      <c r="ET4" s="11" t="s">
        <v>39</v>
      </c>
      <c r="EU4" s="11" t="s">
        <v>40</v>
      </c>
      <c r="EV4" s="11" t="s">
        <v>37</v>
      </c>
      <c r="EW4" s="11" t="s">
        <v>41</v>
      </c>
      <c r="EX4" s="11" t="s">
        <v>42</v>
      </c>
      <c r="EY4" s="18"/>
      <c r="EZ4" s="18"/>
      <c r="FA4" s="11" t="s">
        <v>39</v>
      </c>
      <c r="FB4" s="11" t="s">
        <v>40</v>
      </c>
      <c r="FC4" s="11" t="s">
        <v>37</v>
      </c>
      <c r="FD4" s="11" t="s">
        <v>41</v>
      </c>
      <c r="FE4" s="11" t="s">
        <v>42</v>
      </c>
      <c r="FF4" s="18"/>
      <c r="FG4" s="18"/>
      <c r="FH4" s="11" t="s">
        <v>39</v>
      </c>
      <c r="FI4" s="11" t="s">
        <v>40</v>
      </c>
      <c r="FJ4" s="11" t="s">
        <v>37</v>
      </c>
      <c r="FK4" s="11" t="s">
        <v>41</v>
      </c>
      <c r="FL4" s="11" t="s">
        <v>42</v>
      </c>
      <c r="FM4" s="18"/>
      <c r="FN4" s="18"/>
      <c r="FO4" s="11" t="s">
        <v>39</v>
      </c>
      <c r="FP4" s="11" t="s">
        <v>40</v>
      </c>
      <c r="FQ4" s="11" t="s">
        <v>37</v>
      </c>
      <c r="FR4" s="11" t="s">
        <v>41</v>
      </c>
      <c r="FS4" s="11" t="s">
        <v>42</v>
      </c>
      <c r="FT4" s="18"/>
      <c r="FU4" s="18"/>
      <c r="FV4" s="17" t="s">
        <v>39</v>
      </c>
      <c r="FW4" s="17" t="s">
        <v>40</v>
      </c>
      <c r="FX4" s="17" t="s">
        <v>37</v>
      </c>
      <c r="FY4" s="17" t="s">
        <v>41</v>
      </c>
      <c r="FZ4" s="17" t="s">
        <v>42</v>
      </c>
      <c r="GA4" s="24"/>
      <c r="GB4" s="24"/>
    </row>
    <row r="5" spans="1:184" x14ac:dyDescent="0.25">
      <c r="A5" s="18" t="s">
        <v>30</v>
      </c>
      <c r="B5" s="6" t="s">
        <v>25</v>
      </c>
      <c r="C5" s="7">
        <v>4.7E-2</v>
      </c>
      <c r="D5" s="7">
        <v>4.7E-2</v>
      </c>
      <c r="E5" s="7">
        <v>4.7E-2</v>
      </c>
      <c r="F5" s="7">
        <v>4.7E-2</v>
      </c>
      <c r="G5" s="7">
        <v>4.7E-2</v>
      </c>
      <c r="H5" s="15">
        <v>0.15</v>
      </c>
      <c r="I5" s="12">
        <v>0.02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>
        <f>+C5-1%</f>
        <v>3.6999999999999998E-2</v>
      </c>
      <c r="BH5" s="7">
        <f t="shared" ref="BH5:BM5" si="0">+D5-1%</f>
        <v>3.6999999999999998E-2</v>
      </c>
      <c r="BI5" s="7">
        <f t="shared" si="0"/>
        <v>3.6999999999999998E-2</v>
      </c>
      <c r="BJ5" s="7">
        <f t="shared" si="0"/>
        <v>3.6999999999999998E-2</v>
      </c>
      <c r="BK5" s="7">
        <f t="shared" si="0"/>
        <v>3.6999999999999998E-2</v>
      </c>
      <c r="BL5" s="7">
        <f>+H5+1%</f>
        <v>0.16</v>
      </c>
      <c r="BM5" s="7">
        <f t="shared" si="0"/>
        <v>0.01</v>
      </c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>
        <f>+C5-2%</f>
        <v>2.7E-2</v>
      </c>
      <c r="DZ5" s="7">
        <f t="shared" ref="DZ5:EE5" si="1">+D5-2%</f>
        <v>2.7E-2</v>
      </c>
      <c r="EA5" s="7">
        <f t="shared" si="1"/>
        <v>2.7E-2</v>
      </c>
      <c r="EB5" s="7">
        <f t="shared" si="1"/>
        <v>2.7E-2</v>
      </c>
      <c r="EC5" s="7">
        <f t="shared" si="1"/>
        <v>2.7E-2</v>
      </c>
      <c r="ED5" s="7">
        <f>+H5+2%</f>
        <v>0.16999999999999998</v>
      </c>
      <c r="EE5" s="7">
        <f t="shared" si="1"/>
        <v>0</v>
      </c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>
        <v>4.7E-2</v>
      </c>
      <c r="FW5" s="7">
        <v>4.7E-2</v>
      </c>
      <c r="FX5" s="7">
        <v>4.7E-2</v>
      </c>
      <c r="FY5" s="7">
        <v>4.7E-2</v>
      </c>
      <c r="FZ5" s="7">
        <v>4.7E-2</v>
      </c>
      <c r="GA5" s="15">
        <v>0.15</v>
      </c>
      <c r="GB5" s="12">
        <v>0.02</v>
      </c>
    </row>
    <row r="6" spans="1:184" x14ac:dyDescent="0.25">
      <c r="A6" s="18"/>
      <c r="B6" s="6" t="s">
        <v>26</v>
      </c>
      <c r="C6" s="13">
        <v>0.01</v>
      </c>
      <c r="D6" s="13">
        <v>0.01</v>
      </c>
      <c r="E6" s="13">
        <v>0.01</v>
      </c>
      <c r="F6" s="13">
        <v>0.01</v>
      </c>
      <c r="G6" s="13">
        <v>0.01</v>
      </c>
      <c r="H6" s="13">
        <v>0.18</v>
      </c>
      <c r="I6" s="13"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13">
        <v>0.01</v>
      </c>
      <c r="BH6" s="13">
        <v>0.01</v>
      </c>
      <c r="BI6" s="13">
        <v>0.01</v>
      </c>
      <c r="BJ6" s="13">
        <v>0.01</v>
      </c>
      <c r="BK6" s="13">
        <v>0.01</v>
      </c>
      <c r="BL6" s="13">
        <v>0.18</v>
      </c>
      <c r="BM6" s="13">
        <v>0</v>
      </c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13">
        <v>0.01</v>
      </c>
      <c r="DZ6" s="13">
        <v>0.01</v>
      </c>
      <c r="EA6" s="13">
        <v>0.01</v>
      </c>
      <c r="EB6" s="13">
        <v>0.01</v>
      </c>
      <c r="EC6" s="13">
        <v>0.01</v>
      </c>
      <c r="ED6" s="13">
        <v>0.18</v>
      </c>
      <c r="EE6" s="13">
        <v>0</v>
      </c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13">
        <v>0.01</v>
      </c>
      <c r="FW6" s="13">
        <v>0.01</v>
      </c>
      <c r="FX6" s="13">
        <v>0.01</v>
      </c>
      <c r="FY6" s="13">
        <v>0.01</v>
      </c>
      <c r="FZ6" s="13">
        <v>0.01</v>
      </c>
      <c r="GA6" s="13">
        <v>0.18</v>
      </c>
      <c r="GB6" s="13">
        <v>0</v>
      </c>
    </row>
    <row r="7" spans="1:184" x14ac:dyDescent="0.25">
      <c r="A7" s="18"/>
      <c r="B7" s="6" t="s">
        <v>27</v>
      </c>
      <c r="C7" s="12">
        <v>2.8499999999999998E-2</v>
      </c>
      <c r="D7" s="12">
        <v>2.8499999999999998E-2</v>
      </c>
      <c r="E7" s="12">
        <v>2.8499999999999998E-2</v>
      </c>
      <c r="F7" s="12">
        <v>2.8499999999999998E-2</v>
      </c>
      <c r="G7" s="12">
        <v>2.8499999999999998E-2</v>
      </c>
      <c r="H7" s="12">
        <v>0.18</v>
      </c>
      <c r="I7" s="12">
        <v>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>
        <f>+C7-1%</f>
        <v>1.8499999999999996E-2</v>
      </c>
      <c r="BH7" s="7">
        <f t="shared" ref="BH7" si="2">+D7-1%</f>
        <v>1.8499999999999996E-2</v>
      </c>
      <c r="BI7" s="7">
        <f t="shared" ref="BI7" si="3">+E7-1%</f>
        <v>1.8499999999999996E-2</v>
      </c>
      <c r="BJ7" s="7">
        <f t="shared" ref="BJ7" si="4">+F7-1%</f>
        <v>1.8499999999999996E-2</v>
      </c>
      <c r="BK7" s="7">
        <f t="shared" ref="BK7" si="5">+G7-1%</f>
        <v>1.8499999999999996E-2</v>
      </c>
      <c r="BL7" s="7">
        <f>+H7+1%</f>
        <v>0.19</v>
      </c>
      <c r="BM7" s="7">
        <v>0.02</v>
      </c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>
        <f>+C7-2%</f>
        <v>8.4999999999999971E-3</v>
      </c>
      <c r="DZ7" s="7">
        <f t="shared" ref="DZ7" si="6">+D7-2%</f>
        <v>8.4999999999999971E-3</v>
      </c>
      <c r="EA7" s="7">
        <f t="shared" ref="EA7" si="7">+E7-2%</f>
        <v>8.4999999999999971E-3</v>
      </c>
      <c r="EB7" s="7">
        <f t="shared" ref="EB7" si="8">+F7-2%</f>
        <v>8.4999999999999971E-3</v>
      </c>
      <c r="EC7" s="7">
        <f t="shared" ref="EC7" si="9">+G7-2%</f>
        <v>8.4999999999999971E-3</v>
      </c>
      <c r="ED7" s="7">
        <f>+H7+2%</f>
        <v>0.19999999999999998</v>
      </c>
      <c r="EE7" s="7">
        <v>0.01</v>
      </c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12">
        <v>2.8499999999999998E-2</v>
      </c>
      <c r="FW7" s="12">
        <v>2.8499999999999998E-2</v>
      </c>
      <c r="FX7" s="12">
        <v>2.8499999999999998E-2</v>
      </c>
      <c r="FY7" s="12">
        <v>2.8499999999999998E-2</v>
      </c>
      <c r="FZ7" s="12">
        <v>2.8499999999999998E-2</v>
      </c>
      <c r="GA7" s="12">
        <v>0.18</v>
      </c>
      <c r="GB7" s="12">
        <v>0</v>
      </c>
    </row>
    <row r="8" spans="1:184" x14ac:dyDescent="0.25">
      <c r="A8" s="18"/>
      <c r="B8" s="6" t="s">
        <v>28</v>
      </c>
      <c r="C8" s="13">
        <v>0.01</v>
      </c>
      <c r="D8" s="13">
        <v>0.01</v>
      </c>
      <c r="E8" s="13">
        <v>0.01</v>
      </c>
      <c r="F8" s="13">
        <v>0.01</v>
      </c>
      <c r="G8" s="13">
        <v>0.01</v>
      </c>
      <c r="H8" s="13">
        <v>0.18</v>
      </c>
      <c r="I8" s="13">
        <v>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13">
        <v>0.01</v>
      </c>
      <c r="BH8" s="13">
        <v>0.01</v>
      </c>
      <c r="BI8" s="13">
        <v>0.01</v>
      </c>
      <c r="BJ8" s="13">
        <v>0.01</v>
      </c>
      <c r="BK8" s="13">
        <v>0.01</v>
      </c>
      <c r="BL8" s="13">
        <v>0.18</v>
      </c>
      <c r="BM8" s="13">
        <v>0</v>
      </c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13">
        <v>0.01</v>
      </c>
      <c r="DZ8" s="13">
        <v>0.01</v>
      </c>
      <c r="EA8" s="13">
        <v>0.01</v>
      </c>
      <c r="EB8" s="13">
        <v>0.01</v>
      </c>
      <c r="EC8" s="13">
        <v>0.01</v>
      </c>
      <c r="ED8" s="13">
        <v>0.18</v>
      </c>
      <c r="EE8" s="13">
        <v>0</v>
      </c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13">
        <v>0.01</v>
      </c>
      <c r="FW8" s="13">
        <v>0.01</v>
      </c>
      <c r="FX8" s="13">
        <v>0.01</v>
      </c>
      <c r="FY8" s="13">
        <v>0.01</v>
      </c>
      <c r="FZ8" s="13">
        <v>0.01</v>
      </c>
      <c r="GA8" s="13">
        <v>0.18</v>
      </c>
      <c r="GB8" s="13">
        <v>0</v>
      </c>
    </row>
    <row r="9" spans="1:184" x14ac:dyDescent="0.25">
      <c r="A9" s="18" t="s">
        <v>31</v>
      </c>
      <c r="B9" s="6" t="s">
        <v>25</v>
      </c>
      <c r="C9" s="12">
        <v>4.9000000000000002E-2</v>
      </c>
      <c r="D9" s="12">
        <v>4.9000000000000002E-2</v>
      </c>
      <c r="E9" s="12">
        <v>4.9000000000000002E-2</v>
      </c>
      <c r="F9" s="12">
        <v>4.9000000000000002E-2</v>
      </c>
      <c r="G9" s="12">
        <v>4.9000000000000002E-2</v>
      </c>
      <c r="H9" s="12">
        <v>0.125</v>
      </c>
      <c r="I9" s="12">
        <v>0.04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>
        <f>+C9-1%</f>
        <v>3.9E-2</v>
      </c>
      <c r="BH9" s="7">
        <f t="shared" ref="BH9" si="10">+D9-1%</f>
        <v>3.9E-2</v>
      </c>
      <c r="BI9" s="7">
        <f t="shared" ref="BI9" si="11">+E9-1%</f>
        <v>3.9E-2</v>
      </c>
      <c r="BJ9" s="7">
        <f t="shared" ref="BJ9" si="12">+F9-1%</f>
        <v>3.9E-2</v>
      </c>
      <c r="BK9" s="7">
        <f t="shared" ref="BK9" si="13">+G9-1%</f>
        <v>3.9E-2</v>
      </c>
      <c r="BL9" s="7">
        <f>+H9+1%</f>
        <v>0.13500000000000001</v>
      </c>
      <c r="BM9" s="7">
        <f t="shared" ref="BM9" si="14">+I9-1%</f>
        <v>0.03</v>
      </c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>
        <f>+C9-2%</f>
        <v>2.9000000000000001E-2</v>
      </c>
      <c r="DZ9" s="7">
        <f t="shared" ref="DZ9" si="15">+D9-2%</f>
        <v>2.9000000000000001E-2</v>
      </c>
      <c r="EA9" s="7">
        <f t="shared" ref="EA9" si="16">+E9-2%</f>
        <v>2.9000000000000001E-2</v>
      </c>
      <c r="EB9" s="7">
        <f t="shared" ref="EB9" si="17">+F9-2%</f>
        <v>2.9000000000000001E-2</v>
      </c>
      <c r="EC9" s="7">
        <f t="shared" ref="EC9" si="18">+G9-2%</f>
        <v>2.9000000000000001E-2</v>
      </c>
      <c r="ED9" s="7">
        <f>+H9+2%</f>
        <v>0.14499999999999999</v>
      </c>
      <c r="EE9" s="7">
        <f t="shared" ref="EE9" si="19">+I9-2%</f>
        <v>0.02</v>
      </c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12">
        <v>4.9000000000000002E-2</v>
      </c>
      <c r="FW9" s="12">
        <v>4.9000000000000002E-2</v>
      </c>
      <c r="FX9" s="12">
        <v>4.9000000000000002E-2</v>
      </c>
      <c r="FY9" s="12">
        <v>4.9000000000000002E-2</v>
      </c>
      <c r="FZ9" s="12">
        <v>4.9000000000000002E-2</v>
      </c>
      <c r="GA9" s="12">
        <v>0.125</v>
      </c>
      <c r="GB9" s="12">
        <v>0.04</v>
      </c>
    </row>
    <row r="10" spans="1:184" x14ac:dyDescent="0.25">
      <c r="A10" s="18"/>
      <c r="B10" s="6" t="s">
        <v>26</v>
      </c>
      <c r="C10" s="13">
        <v>0.01</v>
      </c>
      <c r="D10" s="13">
        <v>0.01</v>
      </c>
      <c r="E10" s="13">
        <v>0.01</v>
      </c>
      <c r="F10" s="13">
        <v>0.01</v>
      </c>
      <c r="G10" s="13">
        <v>0.01</v>
      </c>
      <c r="H10" s="13">
        <v>0.18</v>
      </c>
      <c r="I10" s="13"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13">
        <v>0.01</v>
      </c>
      <c r="BH10" s="13">
        <v>0.01</v>
      </c>
      <c r="BI10" s="13">
        <v>0.01</v>
      </c>
      <c r="BJ10" s="13">
        <v>0.01</v>
      </c>
      <c r="BK10" s="13">
        <v>0.01</v>
      </c>
      <c r="BL10" s="13">
        <v>0.18</v>
      </c>
      <c r="BM10" s="13">
        <v>0</v>
      </c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13">
        <v>0.01</v>
      </c>
      <c r="DZ10" s="13">
        <v>0.01</v>
      </c>
      <c r="EA10" s="13">
        <v>0.01</v>
      </c>
      <c r="EB10" s="13">
        <v>0.01</v>
      </c>
      <c r="EC10" s="13">
        <v>0.01</v>
      </c>
      <c r="ED10" s="13">
        <v>0.18</v>
      </c>
      <c r="EE10" s="13">
        <v>0</v>
      </c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13">
        <v>0.01</v>
      </c>
      <c r="FW10" s="13">
        <v>0.01</v>
      </c>
      <c r="FX10" s="13">
        <v>0.01</v>
      </c>
      <c r="FY10" s="13">
        <v>0.01</v>
      </c>
      <c r="FZ10" s="13">
        <v>0.01</v>
      </c>
      <c r="GA10" s="13">
        <v>0.18</v>
      </c>
      <c r="GB10" s="13">
        <v>0</v>
      </c>
    </row>
    <row r="11" spans="1:184" x14ac:dyDescent="0.25">
      <c r="A11" s="18"/>
      <c r="B11" s="6" t="s">
        <v>27</v>
      </c>
      <c r="C11" s="12">
        <v>3.4499999999999996E-2</v>
      </c>
      <c r="D11" s="12">
        <v>3.4499999999999996E-2</v>
      </c>
      <c r="E11" s="12">
        <v>3.4499999999999996E-2</v>
      </c>
      <c r="F11" s="12">
        <v>3.4499999999999996E-2</v>
      </c>
      <c r="G11" s="12">
        <v>3.4499999999999996E-2</v>
      </c>
      <c r="H11" s="12">
        <v>0.15</v>
      </c>
      <c r="I11" s="12">
        <v>0.05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>
        <f>+C11-1%</f>
        <v>2.4499999999999994E-2</v>
      </c>
      <c r="BH11" s="7">
        <f t="shared" ref="BH11" si="20">+D11-1%</f>
        <v>2.4499999999999994E-2</v>
      </c>
      <c r="BI11" s="7">
        <f t="shared" ref="BI11" si="21">+E11-1%</f>
        <v>2.4499999999999994E-2</v>
      </c>
      <c r="BJ11" s="7">
        <f t="shared" ref="BJ11" si="22">+F11-1%</f>
        <v>2.4499999999999994E-2</v>
      </c>
      <c r="BK11" s="7">
        <f t="shared" ref="BK11" si="23">+G11-1%</f>
        <v>2.4499999999999994E-2</v>
      </c>
      <c r="BL11" s="7">
        <f>+H11+1%</f>
        <v>0.16</v>
      </c>
      <c r="BM11" s="7">
        <f t="shared" ref="BM11" si="24">+I11-1%</f>
        <v>0.04</v>
      </c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>
        <f>+C11-2%</f>
        <v>1.4499999999999996E-2</v>
      </c>
      <c r="DZ11" s="7">
        <f t="shared" ref="DZ11" si="25">+D11-2%</f>
        <v>1.4499999999999996E-2</v>
      </c>
      <c r="EA11" s="7">
        <f t="shared" ref="EA11" si="26">+E11-2%</f>
        <v>1.4499999999999996E-2</v>
      </c>
      <c r="EB11" s="7">
        <f t="shared" ref="EB11" si="27">+F11-2%</f>
        <v>1.4499999999999996E-2</v>
      </c>
      <c r="EC11" s="7">
        <f t="shared" ref="EC11" si="28">+G11-2%</f>
        <v>1.4499999999999996E-2</v>
      </c>
      <c r="ED11" s="7">
        <f>+H11+2%</f>
        <v>0.16999999999999998</v>
      </c>
      <c r="EE11" s="7">
        <f t="shared" ref="EE11" si="29">+I11-2%</f>
        <v>3.0000000000000002E-2</v>
      </c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12">
        <v>3.4499999999999996E-2</v>
      </c>
      <c r="FW11" s="12">
        <v>3.4499999999999996E-2</v>
      </c>
      <c r="FX11" s="12">
        <v>3.4499999999999996E-2</v>
      </c>
      <c r="FY11" s="12">
        <v>3.4499999999999996E-2</v>
      </c>
      <c r="FZ11" s="12">
        <v>3.4499999999999996E-2</v>
      </c>
      <c r="GA11" s="12">
        <v>0.15</v>
      </c>
      <c r="GB11" s="12">
        <v>0.05</v>
      </c>
    </row>
    <row r="12" spans="1:184" x14ac:dyDescent="0.25">
      <c r="A12" s="18"/>
      <c r="B12" s="6" t="s">
        <v>28</v>
      </c>
      <c r="C12" s="13">
        <v>0.01</v>
      </c>
      <c r="D12" s="13">
        <v>0.01</v>
      </c>
      <c r="E12" s="13">
        <v>0.01</v>
      </c>
      <c r="F12" s="13">
        <v>0.01</v>
      </c>
      <c r="G12" s="13">
        <v>0.01</v>
      </c>
      <c r="H12" s="13">
        <v>0.18</v>
      </c>
      <c r="I12" s="13">
        <v>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13">
        <v>0.01</v>
      </c>
      <c r="BH12" s="13">
        <v>0.01</v>
      </c>
      <c r="BI12" s="13">
        <v>0.01</v>
      </c>
      <c r="BJ12" s="13">
        <v>0.01</v>
      </c>
      <c r="BK12" s="13">
        <v>0.01</v>
      </c>
      <c r="BL12" s="13">
        <v>0.18</v>
      </c>
      <c r="BM12" s="13">
        <v>0</v>
      </c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13">
        <v>0.01</v>
      </c>
      <c r="DZ12" s="13">
        <v>0.01</v>
      </c>
      <c r="EA12" s="13">
        <v>0.01</v>
      </c>
      <c r="EB12" s="13">
        <v>0.01</v>
      </c>
      <c r="EC12" s="13">
        <v>0.01</v>
      </c>
      <c r="ED12" s="13">
        <v>0.18</v>
      </c>
      <c r="EE12" s="13">
        <v>0</v>
      </c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13">
        <v>0.01</v>
      </c>
      <c r="FW12" s="13">
        <v>0.01</v>
      </c>
      <c r="FX12" s="13">
        <v>0.01</v>
      </c>
      <c r="FY12" s="13">
        <v>0.01</v>
      </c>
      <c r="FZ12" s="13">
        <v>0.01</v>
      </c>
      <c r="GA12" s="13">
        <v>0.18</v>
      </c>
      <c r="GB12" s="13">
        <v>0</v>
      </c>
    </row>
    <row r="13" spans="1:184" x14ac:dyDescent="0.25">
      <c r="A13" s="18" t="s">
        <v>32</v>
      </c>
      <c r="B13" s="8" t="s">
        <v>25</v>
      </c>
      <c r="C13" s="12">
        <v>5.3499999999999999E-2</v>
      </c>
      <c r="D13" s="12">
        <v>5.3499999999999999E-2</v>
      </c>
      <c r="E13" s="12">
        <v>5.3499999999999999E-2</v>
      </c>
      <c r="F13" s="12">
        <v>5.3499999999999999E-2</v>
      </c>
      <c r="G13" s="12">
        <v>5.3499999999999999E-2</v>
      </c>
      <c r="H13" s="12">
        <v>0.123</v>
      </c>
      <c r="I13" s="12">
        <v>0.05</v>
      </c>
      <c r="J13" s="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>
        <f>+C13-1%</f>
        <v>4.3499999999999997E-2</v>
      </c>
      <c r="BH13" s="7">
        <f t="shared" ref="BH13" si="30">+D13-1%</f>
        <v>4.3499999999999997E-2</v>
      </c>
      <c r="BI13" s="7">
        <f t="shared" ref="BI13" si="31">+E13-1%</f>
        <v>4.3499999999999997E-2</v>
      </c>
      <c r="BJ13" s="7">
        <f t="shared" ref="BJ13" si="32">+F13-1%</f>
        <v>4.3499999999999997E-2</v>
      </c>
      <c r="BK13" s="7">
        <f t="shared" ref="BK13" si="33">+G13-1%</f>
        <v>4.3499999999999997E-2</v>
      </c>
      <c r="BL13" s="7">
        <f>+H13+1%</f>
        <v>0.13300000000000001</v>
      </c>
      <c r="BM13" s="7">
        <f t="shared" ref="BM13" si="34">+I13-1%</f>
        <v>0.04</v>
      </c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>
        <f>+C13-2%</f>
        <v>3.3500000000000002E-2</v>
      </c>
      <c r="DZ13" s="7">
        <f t="shared" ref="DZ13" si="35">+D13-2%</f>
        <v>3.3500000000000002E-2</v>
      </c>
      <c r="EA13" s="7">
        <f t="shared" ref="EA13" si="36">+E13-2%</f>
        <v>3.3500000000000002E-2</v>
      </c>
      <c r="EB13" s="7">
        <f t="shared" ref="EB13" si="37">+F13-2%</f>
        <v>3.3500000000000002E-2</v>
      </c>
      <c r="EC13" s="7">
        <f t="shared" ref="EC13" si="38">+G13-2%</f>
        <v>3.3500000000000002E-2</v>
      </c>
      <c r="ED13" s="7">
        <f>+H13+2%</f>
        <v>0.14299999999999999</v>
      </c>
      <c r="EE13" s="7">
        <f t="shared" ref="EE13" si="39">+I13-2%</f>
        <v>3.0000000000000002E-2</v>
      </c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12">
        <v>5.3499999999999999E-2</v>
      </c>
      <c r="FW13" s="12">
        <v>5.3499999999999999E-2</v>
      </c>
      <c r="FX13" s="12">
        <v>5.3499999999999999E-2</v>
      </c>
      <c r="FY13" s="12">
        <v>5.3499999999999999E-2</v>
      </c>
      <c r="FZ13" s="12">
        <v>5.3499999999999999E-2</v>
      </c>
      <c r="GA13" s="12">
        <v>0.123</v>
      </c>
      <c r="GB13" s="12">
        <v>0.05</v>
      </c>
    </row>
    <row r="14" spans="1:184" x14ac:dyDescent="0.25">
      <c r="A14" s="18"/>
      <c r="B14" s="8" t="s">
        <v>26</v>
      </c>
      <c r="C14" s="13">
        <v>0.01</v>
      </c>
      <c r="D14" s="13">
        <v>0.01</v>
      </c>
      <c r="E14" s="13">
        <v>0.01</v>
      </c>
      <c r="F14" s="13">
        <v>0.01</v>
      </c>
      <c r="G14" s="13">
        <v>0.01</v>
      </c>
      <c r="H14" s="13">
        <v>0.18</v>
      </c>
      <c r="I14" s="13"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13">
        <v>0.01</v>
      </c>
      <c r="BH14" s="13">
        <v>0.01</v>
      </c>
      <c r="BI14" s="13">
        <v>0.01</v>
      </c>
      <c r="BJ14" s="13">
        <v>0.01</v>
      </c>
      <c r="BK14" s="13">
        <v>0.01</v>
      </c>
      <c r="BL14" s="13">
        <v>0.18</v>
      </c>
      <c r="BM14" s="13">
        <v>0</v>
      </c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13">
        <v>0.01</v>
      </c>
      <c r="DZ14" s="13">
        <v>0.01</v>
      </c>
      <c r="EA14" s="13">
        <v>0.01</v>
      </c>
      <c r="EB14" s="13">
        <v>0.01</v>
      </c>
      <c r="EC14" s="13">
        <v>0.01</v>
      </c>
      <c r="ED14" s="13">
        <v>0.18</v>
      </c>
      <c r="EE14" s="13">
        <v>0</v>
      </c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13">
        <v>0.01</v>
      </c>
      <c r="FW14" s="13">
        <v>0.01</v>
      </c>
      <c r="FX14" s="13">
        <v>0.01</v>
      </c>
      <c r="FY14" s="13">
        <v>0.01</v>
      </c>
      <c r="FZ14" s="13">
        <v>0.01</v>
      </c>
      <c r="GA14" s="13">
        <v>0.18</v>
      </c>
      <c r="GB14" s="13">
        <v>0</v>
      </c>
    </row>
    <row r="15" spans="1:184" x14ac:dyDescent="0.25">
      <c r="A15" s="18"/>
      <c r="B15" s="6" t="s">
        <v>27</v>
      </c>
      <c r="C15" s="14">
        <v>3.5999999999999997E-2</v>
      </c>
      <c r="D15" s="14">
        <v>3.5999999999999997E-2</v>
      </c>
      <c r="E15" s="14">
        <v>3.5999999999999997E-2</v>
      </c>
      <c r="F15" s="14">
        <v>3.5999999999999997E-2</v>
      </c>
      <c r="G15" s="14">
        <v>3.5999999999999997E-2</v>
      </c>
      <c r="H15" s="12">
        <v>0.15</v>
      </c>
      <c r="I15" s="12">
        <v>0.05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>
        <f>+C15-1%</f>
        <v>2.5999999999999995E-2</v>
      </c>
      <c r="BH15" s="7">
        <f t="shared" ref="BH15" si="40">+D15-1%</f>
        <v>2.5999999999999995E-2</v>
      </c>
      <c r="BI15" s="7">
        <f t="shared" ref="BI15" si="41">+E15-1%</f>
        <v>2.5999999999999995E-2</v>
      </c>
      <c r="BJ15" s="7">
        <f t="shared" ref="BJ15" si="42">+F15-1%</f>
        <v>2.5999999999999995E-2</v>
      </c>
      <c r="BK15" s="7">
        <f t="shared" ref="BK15" si="43">+G15-1%</f>
        <v>2.5999999999999995E-2</v>
      </c>
      <c r="BL15" s="7">
        <f>+H15+1%</f>
        <v>0.16</v>
      </c>
      <c r="BM15" s="7">
        <f t="shared" ref="BM15" si="44">+I15-1%</f>
        <v>0.04</v>
      </c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>
        <f>+C15-2%</f>
        <v>1.5999999999999997E-2</v>
      </c>
      <c r="DZ15" s="7">
        <f t="shared" ref="DZ15" si="45">+D15-2%</f>
        <v>1.5999999999999997E-2</v>
      </c>
      <c r="EA15" s="7">
        <f t="shared" ref="EA15" si="46">+E15-2%</f>
        <v>1.5999999999999997E-2</v>
      </c>
      <c r="EB15" s="7">
        <f t="shared" ref="EB15" si="47">+F15-2%</f>
        <v>1.5999999999999997E-2</v>
      </c>
      <c r="EC15" s="7">
        <f t="shared" ref="EC15" si="48">+G15-2%</f>
        <v>1.5999999999999997E-2</v>
      </c>
      <c r="ED15" s="7">
        <f>+H15+2%</f>
        <v>0.16999999999999998</v>
      </c>
      <c r="EE15" s="7">
        <f t="shared" ref="EE15" si="49">+I15-2%</f>
        <v>3.0000000000000002E-2</v>
      </c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14">
        <v>3.5999999999999997E-2</v>
      </c>
      <c r="FW15" s="14">
        <v>3.5999999999999997E-2</v>
      </c>
      <c r="FX15" s="14">
        <v>3.5999999999999997E-2</v>
      </c>
      <c r="FY15" s="14">
        <v>3.5999999999999997E-2</v>
      </c>
      <c r="FZ15" s="14">
        <v>3.5999999999999997E-2</v>
      </c>
      <c r="GA15" s="12">
        <v>0.15</v>
      </c>
      <c r="GB15" s="12">
        <v>0.05</v>
      </c>
    </row>
    <row r="16" spans="1:184" x14ac:dyDescent="0.25">
      <c r="A16" s="18"/>
      <c r="B16" s="6" t="s">
        <v>28</v>
      </c>
      <c r="C16" s="13">
        <v>0.01</v>
      </c>
      <c r="D16" s="13">
        <v>0.01</v>
      </c>
      <c r="E16" s="13">
        <v>0.01</v>
      </c>
      <c r="F16" s="13">
        <v>0.01</v>
      </c>
      <c r="G16" s="13">
        <v>0.01</v>
      </c>
      <c r="H16" s="13">
        <v>0.18</v>
      </c>
      <c r="I16" s="13">
        <v>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13">
        <v>0.01</v>
      </c>
      <c r="BH16" s="13">
        <v>0.01</v>
      </c>
      <c r="BI16" s="13">
        <v>0.01</v>
      </c>
      <c r="BJ16" s="13">
        <v>0.01</v>
      </c>
      <c r="BK16" s="13">
        <v>0.01</v>
      </c>
      <c r="BL16" s="13">
        <v>0.18</v>
      </c>
      <c r="BM16" s="13">
        <v>0</v>
      </c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13">
        <v>0.01</v>
      </c>
      <c r="DZ16" s="13">
        <v>0.01</v>
      </c>
      <c r="EA16" s="13">
        <v>0.01</v>
      </c>
      <c r="EB16" s="13">
        <v>0.01</v>
      </c>
      <c r="EC16" s="13">
        <v>0.01</v>
      </c>
      <c r="ED16" s="13">
        <v>0.18</v>
      </c>
      <c r="EE16" s="13">
        <v>0</v>
      </c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13">
        <v>0.01</v>
      </c>
      <c r="FW16" s="13">
        <v>0.01</v>
      </c>
      <c r="FX16" s="13">
        <v>0.01</v>
      </c>
      <c r="FY16" s="13">
        <v>0.01</v>
      </c>
      <c r="FZ16" s="13">
        <v>0.01</v>
      </c>
      <c r="GA16" s="13">
        <v>0.18</v>
      </c>
      <c r="GB16" s="13">
        <v>0</v>
      </c>
    </row>
    <row r="17" spans="1:184" x14ac:dyDescent="0.25">
      <c r="A17" s="18" t="s">
        <v>33</v>
      </c>
      <c r="B17" s="6" t="s">
        <v>25</v>
      </c>
      <c r="C17" s="12">
        <v>5.3499999999999999E-2</v>
      </c>
      <c r="D17" s="12">
        <v>5.3499999999999999E-2</v>
      </c>
      <c r="E17" s="12">
        <v>5.3499999999999999E-2</v>
      </c>
      <c r="F17" s="12">
        <v>5.3499999999999999E-2</v>
      </c>
      <c r="G17" s="12">
        <v>5.3499999999999999E-2</v>
      </c>
      <c r="H17" s="12">
        <v>0.123</v>
      </c>
      <c r="I17" s="12">
        <v>0.05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>
        <f>+C17-1%</f>
        <v>4.3499999999999997E-2</v>
      </c>
      <c r="BH17" s="7">
        <f t="shared" ref="BH17" si="50">+D17-1%</f>
        <v>4.3499999999999997E-2</v>
      </c>
      <c r="BI17" s="7">
        <f t="shared" ref="BI17" si="51">+E17-1%</f>
        <v>4.3499999999999997E-2</v>
      </c>
      <c r="BJ17" s="7">
        <f t="shared" ref="BJ17" si="52">+F17-1%</f>
        <v>4.3499999999999997E-2</v>
      </c>
      <c r="BK17" s="7">
        <f t="shared" ref="BK17" si="53">+G17-1%</f>
        <v>4.3499999999999997E-2</v>
      </c>
      <c r="BL17" s="7">
        <f>+H17+1%</f>
        <v>0.13300000000000001</v>
      </c>
      <c r="BM17" s="7">
        <f t="shared" ref="BM17" si="54">+I17-1%</f>
        <v>0.04</v>
      </c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>
        <f>+C17-2%</f>
        <v>3.3500000000000002E-2</v>
      </c>
      <c r="DZ17" s="7">
        <f t="shared" ref="DZ17" si="55">+D17-2%</f>
        <v>3.3500000000000002E-2</v>
      </c>
      <c r="EA17" s="7">
        <f t="shared" ref="EA17" si="56">+E17-2%</f>
        <v>3.3500000000000002E-2</v>
      </c>
      <c r="EB17" s="7">
        <f t="shared" ref="EB17" si="57">+F17-2%</f>
        <v>3.3500000000000002E-2</v>
      </c>
      <c r="EC17" s="7">
        <f t="shared" ref="EC17" si="58">+G17-2%</f>
        <v>3.3500000000000002E-2</v>
      </c>
      <c r="ED17" s="7">
        <f>+H17+2%</f>
        <v>0.14299999999999999</v>
      </c>
      <c r="EE17" s="7">
        <f t="shared" ref="EE17" si="59">+I17-2%</f>
        <v>3.0000000000000002E-2</v>
      </c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12">
        <v>5.3499999999999999E-2</v>
      </c>
      <c r="FW17" s="12">
        <v>5.3499999999999999E-2</v>
      </c>
      <c r="FX17" s="12">
        <v>5.3499999999999999E-2</v>
      </c>
      <c r="FY17" s="12">
        <v>5.3499999999999999E-2</v>
      </c>
      <c r="FZ17" s="12">
        <v>5.3499999999999999E-2</v>
      </c>
      <c r="GA17" s="12">
        <v>0.123</v>
      </c>
      <c r="GB17" s="12">
        <v>0.05</v>
      </c>
    </row>
    <row r="18" spans="1:184" x14ac:dyDescent="0.25">
      <c r="A18" s="18"/>
      <c r="B18" s="6" t="s">
        <v>26</v>
      </c>
      <c r="C18" s="13">
        <v>0.01</v>
      </c>
      <c r="D18" s="13">
        <v>0.01</v>
      </c>
      <c r="E18" s="13">
        <v>0.01</v>
      </c>
      <c r="F18" s="13">
        <v>0.01</v>
      </c>
      <c r="G18" s="13">
        <v>0.01</v>
      </c>
      <c r="H18" s="13">
        <v>0.18</v>
      </c>
      <c r="I18" s="13"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13">
        <v>0.01</v>
      </c>
      <c r="BH18" s="13">
        <v>0.01</v>
      </c>
      <c r="BI18" s="13">
        <v>0.01</v>
      </c>
      <c r="BJ18" s="13">
        <v>0.01</v>
      </c>
      <c r="BK18" s="13">
        <v>0.01</v>
      </c>
      <c r="BL18" s="13">
        <v>0.18</v>
      </c>
      <c r="BM18" s="13">
        <v>0</v>
      </c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13">
        <v>0.01</v>
      </c>
      <c r="DZ18" s="13">
        <v>0.01</v>
      </c>
      <c r="EA18" s="13">
        <v>0.01</v>
      </c>
      <c r="EB18" s="13">
        <v>0.01</v>
      </c>
      <c r="EC18" s="13">
        <v>0.01</v>
      </c>
      <c r="ED18" s="13">
        <v>0.18</v>
      </c>
      <c r="EE18" s="13">
        <v>0</v>
      </c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13">
        <v>0.01</v>
      </c>
      <c r="FW18" s="13">
        <v>0.01</v>
      </c>
      <c r="FX18" s="13">
        <v>0.01</v>
      </c>
      <c r="FY18" s="13">
        <v>0.01</v>
      </c>
      <c r="FZ18" s="13">
        <v>0.01</v>
      </c>
      <c r="GA18" s="13">
        <v>0.18</v>
      </c>
      <c r="GB18" s="13">
        <v>0</v>
      </c>
    </row>
    <row r="19" spans="1:184" x14ac:dyDescent="0.25">
      <c r="A19" s="18"/>
      <c r="B19" s="6" t="s">
        <v>27</v>
      </c>
      <c r="C19" s="14">
        <v>3.5999999999999997E-2</v>
      </c>
      <c r="D19" s="14">
        <v>3.5999999999999997E-2</v>
      </c>
      <c r="E19" s="14">
        <v>3.5999999999999997E-2</v>
      </c>
      <c r="F19" s="14">
        <v>3.5999999999999997E-2</v>
      </c>
      <c r="G19" s="14">
        <v>3.5999999999999997E-2</v>
      </c>
      <c r="H19" s="12">
        <v>0.15</v>
      </c>
      <c r="I19" s="12">
        <v>7.0000000000000007E-2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>
        <f>+C19-1%</f>
        <v>2.5999999999999995E-2</v>
      </c>
      <c r="BH19" s="7">
        <f t="shared" ref="BH19" si="60">+D19-1%</f>
        <v>2.5999999999999995E-2</v>
      </c>
      <c r="BI19" s="7">
        <f t="shared" ref="BI19" si="61">+E19-1%</f>
        <v>2.5999999999999995E-2</v>
      </c>
      <c r="BJ19" s="7">
        <f t="shared" ref="BJ19" si="62">+F19-1%</f>
        <v>2.5999999999999995E-2</v>
      </c>
      <c r="BK19" s="7">
        <f t="shared" ref="BK19" si="63">+G19-1%</f>
        <v>2.5999999999999995E-2</v>
      </c>
      <c r="BL19" s="7">
        <f>+H19+1%</f>
        <v>0.16</v>
      </c>
      <c r="BM19" s="7">
        <f t="shared" ref="BM19" si="64">+I19-1%</f>
        <v>6.0000000000000005E-2</v>
      </c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>
        <f>+C19-2%</f>
        <v>1.5999999999999997E-2</v>
      </c>
      <c r="DZ19" s="7">
        <f t="shared" ref="DZ19" si="65">+D19-2%</f>
        <v>1.5999999999999997E-2</v>
      </c>
      <c r="EA19" s="7">
        <f t="shared" ref="EA19" si="66">+E19-2%</f>
        <v>1.5999999999999997E-2</v>
      </c>
      <c r="EB19" s="7">
        <f t="shared" ref="EB19" si="67">+F19-2%</f>
        <v>1.5999999999999997E-2</v>
      </c>
      <c r="EC19" s="7">
        <f t="shared" ref="EC19" si="68">+G19-2%</f>
        <v>1.5999999999999997E-2</v>
      </c>
      <c r="ED19" s="7">
        <f>+H19+2%</f>
        <v>0.16999999999999998</v>
      </c>
      <c r="EE19" s="7">
        <f t="shared" ref="EE19" si="69">+I19-2%</f>
        <v>0.05</v>
      </c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14">
        <v>3.5999999999999997E-2</v>
      </c>
      <c r="FW19" s="14">
        <v>3.5999999999999997E-2</v>
      </c>
      <c r="FX19" s="14">
        <v>3.5999999999999997E-2</v>
      </c>
      <c r="FY19" s="14">
        <v>3.5999999999999997E-2</v>
      </c>
      <c r="FZ19" s="14">
        <v>3.5999999999999997E-2</v>
      </c>
      <c r="GA19" s="12">
        <v>0.15</v>
      </c>
      <c r="GB19" s="12">
        <v>7.0000000000000007E-2</v>
      </c>
    </row>
    <row r="20" spans="1:184" x14ac:dyDescent="0.25">
      <c r="A20" s="18"/>
      <c r="B20" s="6" t="s">
        <v>28</v>
      </c>
      <c r="C20" s="13">
        <v>0.01</v>
      </c>
      <c r="D20" s="13">
        <v>0.01</v>
      </c>
      <c r="E20" s="13">
        <v>0.01</v>
      </c>
      <c r="F20" s="13">
        <v>0.01</v>
      </c>
      <c r="G20" s="13">
        <v>0.01</v>
      </c>
      <c r="H20" s="13">
        <v>0.18</v>
      </c>
      <c r="I20" s="13"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13">
        <v>0.01</v>
      </c>
      <c r="BH20" s="13">
        <v>0.01</v>
      </c>
      <c r="BI20" s="13">
        <v>0.01</v>
      </c>
      <c r="BJ20" s="13">
        <v>0.01</v>
      </c>
      <c r="BK20" s="13">
        <v>0.01</v>
      </c>
      <c r="BL20" s="13">
        <v>0.18</v>
      </c>
      <c r="BM20" s="13">
        <v>0</v>
      </c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13">
        <v>0.01</v>
      </c>
      <c r="DZ20" s="13">
        <v>0.01</v>
      </c>
      <c r="EA20" s="13">
        <v>0.01</v>
      </c>
      <c r="EB20" s="13">
        <v>0.01</v>
      </c>
      <c r="EC20" s="13">
        <v>0.01</v>
      </c>
      <c r="ED20" s="13">
        <v>0.18</v>
      </c>
      <c r="EE20" s="13">
        <v>0</v>
      </c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13">
        <v>0.01</v>
      </c>
      <c r="FW20" s="13">
        <v>0.01</v>
      </c>
      <c r="FX20" s="13">
        <v>0.01</v>
      </c>
      <c r="FY20" s="13">
        <v>0.01</v>
      </c>
      <c r="FZ20" s="13">
        <v>0.01</v>
      </c>
      <c r="GA20" s="13">
        <v>0.18</v>
      </c>
      <c r="GB20" s="13">
        <v>0</v>
      </c>
    </row>
    <row r="21" spans="1:184" x14ac:dyDescent="0.25">
      <c r="A21" s="18" t="s">
        <v>34</v>
      </c>
      <c r="B21" s="6" t="s">
        <v>25</v>
      </c>
      <c r="C21" s="12">
        <v>5.5E-2</v>
      </c>
      <c r="D21" s="12">
        <v>5.5E-2</v>
      </c>
      <c r="E21" s="12">
        <v>5.5E-2</v>
      </c>
      <c r="F21" s="12">
        <v>5.5E-2</v>
      </c>
      <c r="G21" s="12">
        <v>5.5E-2</v>
      </c>
      <c r="H21" s="12">
        <v>0.11</v>
      </c>
      <c r="I21" s="16">
        <v>7.0000000000000007E-2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>
        <f>+C21-1%</f>
        <v>4.4999999999999998E-2</v>
      </c>
      <c r="BH21" s="7">
        <f t="shared" ref="BH21" si="70">+D21-1%</f>
        <v>4.4999999999999998E-2</v>
      </c>
      <c r="BI21" s="7">
        <f t="shared" ref="BI21" si="71">+E21-1%</f>
        <v>4.4999999999999998E-2</v>
      </c>
      <c r="BJ21" s="7">
        <f t="shared" ref="BJ21" si="72">+F21-1%</f>
        <v>4.4999999999999998E-2</v>
      </c>
      <c r="BK21" s="7">
        <f t="shared" ref="BK21" si="73">+G21-1%</f>
        <v>4.4999999999999998E-2</v>
      </c>
      <c r="BL21" s="7">
        <f>+H21+1%</f>
        <v>0.12</v>
      </c>
      <c r="BM21" s="7">
        <f t="shared" ref="BM21" si="74">+I21-1%</f>
        <v>6.0000000000000005E-2</v>
      </c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>
        <f>+C21-2%</f>
        <v>3.5000000000000003E-2</v>
      </c>
      <c r="DZ21" s="7">
        <f t="shared" ref="DZ21" si="75">+D21-2%</f>
        <v>3.5000000000000003E-2</v>
      </c>
      <c r="EA21" s="7">
        <f t="shared" ref="EA21" si="76">+E21-2%</f>
        <v>3.5000000000000003E-2</v>
      </c>
      <c r="EB21" s="7">
        <f t="shared" ref="EB21" si="77">+F21-2%</f>
        <v>3.5000000000000003E-2</v>
      </c>
      <c r="EC21" s="7">
        <f t="shared" ref="EC21" si="78">+G21-2%</f>
        <v>3.5000000000000003E-2</v>
      </c>
      <c r="ED21" s="7">
        <f>+H21+2%</f>
        <v>0.13</v>
      </c>
      <c r="EE21" s="7">
        <f t="shared" ref="EE21" si="79">+I21-2%</f>
        <v>0.05</v>
      </c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12">
        <v>5.5E-2</v>
      </c>
      <c r="FW21" s="12">
        <v>5.5E-2</v>
      </c>
      <c r="FX21" s="12">
        <v>5.5E-2</v>
      </c>
      <c r="FY21" s="12">
        <v>5.5E-2</v>
      </c>
      <c r="FZ21" s="12">
        <v>5.5E-2</v>
      </c>
      <c r="GA21" s="12">
        <v>0.11</v>
      </c>
      <c r="GB21" s="16">
        <v>7.0000000000000007E-2</v>
      </c>
    </row>
    <row r="22" spans="1:184" x14ac:dyDescent="0.25">
      <c r="A22" s="18"/>
      <c r="B22" s="6" t="s">
        <v>26</v>
      </c>
      <c r="C22" s="13">
        <v>0.01</v>
      </c>
      <c r="D22" s="13">
        <v>0.01</v>
      </c>
      <c r="E22" s="13">
        <v>0.01</v>
      </c>
      <c r="F22" s="13">
        <v>0.01</v>
      </c>
      <c r="G22" s="13">
        <v>0.01</v>
      </c>
      <c r="H22" s="13">
        <v>0.18</v>
      </c>
      <c r="I22" s="13">
        <v>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13">
        <v>0.01</v>
      </c>
      <c r="BH22" s="13">
        <v>0.01</v>
      </c>
      <c r="BI22" s="13">
        <v>0.01</v>
      </c>
      <c r="BJ22" s="13">
        <v>0.01</v>
      </c>
      <c r="BK22" s="13">
        <v>0.01</v>
      </c>
      <c r="BL22" s="13">
        <v>0.18</v>
      </c>
      <c r="BM22" s="13">
        <v>0</v>
      </c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13">
        <v>0.01</v>
      </c>
      <c r="DZ22" s="13">
        <v>0.01</v>
      </c>
      <c r="EA22" s="13">
        <v>0.01</v>
      </c>
      <c r="EB22" s="13">
        <v>0.01</v>
      </c>
      <c r="EC22" s="13">
        <v>0.01</v>
      </c>
      <c r="ED22" s="13">
        <v>0.18</v>
      </c>
      <c r="EE22" s="13">
        <v>0</v>
      </c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13">
        <v>0.01</v>
      </c>
      <c r="FW22" s="13">
        <v>0.01</v>
      </c>
      <c r="FX22" s="13">
        <v>0.01</v>
      </c>
      <c r="FY22" s="13">
        <v>0.01</v>
      </c>
      <c r="FZ22" s="13">
        <v>0.01</v>
      </c>
      <c r="GA22" s="13">
        <v>0.18</v>
      </c>
      <c r="GB22" s="13">
        <v>0</v>
      </c>
    </row>
    <row r="23" spans="1:184" x14ac:dyDescent="0.25">
      <c r="A23" s="18"/>
      <c r="B23" s="6" t="s">
        <v>27</v>
      </c>
      <c r="C23" s="12">
        <v>3.85E-2</v>
      </c>
      <c r="D23" s="12">
        <v>3.85E-2</v>
      </c>
      <c r="E23" s="12">
        <v>3.85E-2</v>
      </c>
      <c r="F23" s="12">
        <v>3.85E-2</v>
      </c>
      <c r="G23" s="12">
        <v>3.85E-2</v>
      </c>
      <c r="H23" s="12">
        <v>0.15</v>
      </c>
      <c r="I23" s="12">
        <v>7.0000000000000007E-2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>
        <f>+C23-1%</f>
        <v>2.8499999999999998E-2</v>
      </c>
      <c r="BH23" s="7">
        <f t="shared" ref="BH23" si="80">+D23-1%</f>
        <v>2.8499999999999998E-2</v>
      </c>
      <c r="BI23" s="7">
        <f t="shared" ref="BI23" si="81">+E23-1%</f>
        <v>2.8499999999999998E-2</v>
      </c>
      <c r="BJ23" s="7">
        <f t="shared" ref="BJ23" si="82">+F23-1%</f>
        <v>2.8499999999999998E-2</v>
      </c>
      <c r="BK23" s="7">
        <f t="shared" ref="BK23" si="83">+G23-1%</f>
        <v>2.8499999999999998E-2</v>
      </c>
      <c r="BL23" s="7">
        <f>+H23+1%</f>
        <v>0.16</v>
      </c>
      <c r="BM23" s="7">
        <f t="shared" ref="BM23" si="84">+I23-1%</f>
        <v>6.0000000000000005E-2</v>
      </c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>
        <f>+C23-2%</f>
        <v>1.8499999999999999E-2</v>
      </c>
      <c r="DZ23" s="7">
        <f t="shared" ref="DZ23" si="85">+D23-2%</f>
        <v>1.8499999999999999E-2</v>
      </c>
      <c r="EA23" s="7">
        <f t="shared" ref="EA23" si="86">+E23-2%</f>
        <v>1.8499999999999999E-2</v>
      </c>
      <c r="EB23" s="7">
        <f t="shared" ref="EB23" si="87">+F23-2%</f>
        <v>1.8499999999999999E-2</v>
      </c>
      <c r="EC23" s="7">
        <f t="shared" ref="EC23" si="88">+G23-2%</f>
        <v>1.8499999999999999E-2</v>
      </c>
      <c r="ED23" s="7">
        <f>+H23+2%</f>
        <v>0.16999999999999998</v>
      </c>
      <c r="EE23" s="7">
        <f t="shared" ref="EE23" si="89">+I23-2%</f>
        <v>0.05</v>
      </c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12">
        <v>3.85E-2</v>
      </c>
      <c r="FW23" s="12">
        <v>3.85E-2</v>
      </c>
      <c r="FX23" s="12">
        <v>3.85E-2</v>
      </c>
      <c r="FY23" s="12">
        <v>3.85E-2</v>
      </c>
      <c r="FZ23" s="12">
        <v>3.85E-2</v>
      </c>
      <c r="GA23" s="12">
        <v>0.15</v>
      </c>
      <c r="GB23" s="12">
        <v>7.0000000000000007E-2</v>
      </c>
    </row>
    <row r="24" spans="1:184" x14ac:dyDescent="0.25">
      <c r="A24" s="18"/>
      <c r="B24" s="6" t="s">
        <v>28</v>
      </c>
      <c r="C24" s="13">
        <v>0.01</v>
      </c>
      <c r="D24" s="13">
        <v>0.01</v>
      </c>
      <c r="E24" s="13">
        <v>0.01</v>
      </c>
      <c r="F24" s="13">
        <v>0.01</v>
      </c>
      <c r="G24" s="13">
        <v>0.01</v>
      </c>
      <c r="H24" s="13">
        <v>0.18</v>
      </c>
      <c r="I24" s="13">
        <v>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13">
        <v>0.01</v>
      </c>
      <c r="BH24" s="13">
        <v>0.01</v>
      </c>
      <c r="BI24" s="13">
        <v>0.01</v>
      </c>
      <c r="BJ24" s="13">
        <v>0.01</v>
      </c>
      <c r="BK24" s="13">
        <v>0.01</v>
      </c>
      <c r="BL24" s="13">
        <v>0.18</v>
      </c>
      <c r="BM24" s="13">
        <v>0</v>
      </c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13">
        <v>0.01</v>
      </c>
      <c r="DZ24" s="13">
        <v>0.01</v>
      </c>
      <c r="EA24" s="13">
        <v>0.01</v>
      </c>
      <c r="EB24" s="13">
        <v>0.01</v>
      </c>
      <c r="EC24" s="13">
        <v>0.01</v>
      </c>
      <c r="ED24" s="13">
        <v>0.18</v>
      </c>
      <c r="EE24" s="13">
        <v>0</v>
      </c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13">
        <v>0.01</v>
      </c>
      <c r="FW24" s="13">
        <v>0.01</v>
      </c>
      <c r="FX24" s="13">
        <v>0.01</v>
      </c>
      <c r="FY24" s="13">
        <v>0.01</v>
      </c>
      <c r="FZ24" s="13">
        <v>0.01</v>
      </c>
      <c r="GA24" s="13">
        <v>0.18</v>
      </c>
      <c r="GB24" s="13">
        <v>0</v>
      </c>
    </row>
    <row r="25" spans="1:184" x14ac:dyDescent="0.25">
      <c r="A25" s="18" t="s">
        <v>35</v>
      </c>
      <c r="B25" s="6" t="s">
        <v>25</v>
      </c>
      <c r="C25" s="12">
        <v>5.6500000000000002E-2</v>
      </c>
      <c r="D25" s="12">
        <v>5.6500000000000002E-2</v>
      </c>
      <c r="E25" s="12">
        <v>5.6500000000000002E-2</v>
      </c>
      <c r="F25" s="12">
        <v>5.6500000000000002E-2</v>
      </c>
      <c r="G25" s="12">
        <v>5.6500000000000002E-2</v>
      </c>
      <c r="H25" s="12">
        <v>0.108</v>
      </c>
      <c r="I25" s="16">
        <v>8.5000000000000006E-2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>
        <f>+C25-1%</f>
        <v>4.65E-2</v>
      </c>
      <c r="BH25" s="7">
        <f t="shared" ref="BH25" si="90">+D25-1%</f>
        <v>4.65E-2</v>
      </c>
      <c r="BI25" s="7">
        <f t="shared" ref="BI25" si="91">+E25-1%</f>
        <v>4.65E-2</v>
      </c>
      <c r="BJ25" s="7">
        <f t="shared" ref="BJ25" si="92">+F25-1%</f>
        <v>4.65E-2</v>
      </c>
      <c r="BK25" s="7">
        <f t="shared" ref="BK25" si="93">+G25-1%</f>
        <v>4.65E-2</v>
      </c>
      <c r="BL25" s="7">
        <f>+H25+1%</f>
        <v>0.11799999999999999</v>
      </c>
      <c r="BM25" s="7">
        <f t="shared" ref="BM25" si="94">+I25-1%</f>
        <v>7.5000000000000011E-2</v>
      </c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>
        <f>+C25-2%</f>
        <v>3.6500000000000005E-2</v>
      </c>
      <c r="DZ25" s="7">
        <f t="shared" ref="DZ25" si="95">+D25-2%</f>
        <v>3.6500000000000005E-2</v>
      </c>
      <c r="EA25" s="7">
        <f t="shared" ref="EA25" si="96">+E25-2%</f>
        <v>3.6500000000000005E-2</v>
      </c>
      <c r="EB25" s="7">
        <f t="shared" ref="EB25" si="97">+F25-2%</f>
        <v>3.6500000000000005E-2</v>
      </c>
      <c r="EC25" s="7">
        <f t="shared" ref="EC25" si="98">+G25-2%</f>
        <v>3.6500000000000005E-2</v>
      </c>
      <c r="ED25" s="7">
        <f>+H25+2%</f>
        <v>0.128</v>
      </c>
      <c r="EE25" s="7">
        <f t="shared" ref="EE25" si="99">+I25-2%</f>
        <v>6.5000000000000002E-2</v>
      </c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12">
        <v>5.6500000000000002E-2</v>
      </c>
      <c r="FW25" s="12">
        <v>5.6500000000000002E-2</v>
      </c>
      <c r="FX25" s="12">
        <v>5.6500000000000002E-2</v>
      </c>
      <c r="FY25" s="12">
        <v>5.6500000000000002E-2</v>
      </c>
      <c r="FZ25" s="12">
        <v>5.6500000000000002E-2</v>
      </c>
      <c r="GA25" s="12">
        <v>0.108</v>
      </c>
      <c r="GB25" s="16">
        <v>8.5000000000000006E-2</v>
      </c>
    </row>
    <row r="26" spans="1:184" x14ac:dyDescent="0.25">
      <c r="A26" s="18"/>
      <c r="B26" s="6" t="s">
        <v>26</v>
      </c>
      <c r="C26" s="13">
        <v>0.01</v>
      </c>
      <c r="D26" s="13">
        <v>0.01</v>
      </c>
      <c r="E26" s="13">
        <v>0.01</v>
      </c>
      <c r="F26" s="13">
        <v>0.01</v>
      </c>
      <c r="G26" s="13">
        <v>0.01</v>
      </c>
      <c r="H26" s="13">
        <v>0.18</v>
      </c>
      <c r="I26" s="13"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13">
        <v>0.01</v>
      </c>
      <c r="BH26" s="13">
        <v>0.01</v>
      </c>
      <c r="BI26" s="13">
        <v>0.01</v>
      </c>
      <c r="BJ26" s="13">
        <v>0.01</v>
      </c>
      <c r="BK26" s="13">
        <v>0.01</v>
      </c>
      <c r="BL26" s="13">
        <v>0.18</v>
      </c>
      <c r="BM26" s="13">
        <v>0</v>
      </c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13">
        <v>0.01</v>
      </c>
      <c r="DZ26" s="13">
        <v>0.01</v>
      </c>
      <c r="EA26" s="13">
        <v>0.01</v>
      </c>
      <c r="EB26" s="13">
        <v>0.01</v>
      </c>
      <c r="EC26" s="13">
        <v>0.01</v>
      </c>
      <c r="ED26" s="13">
        <v>0.18</v>
      </c>
      <c r="EE26" s="13">
        <v>0</v>
      </c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13">
        <v>0.01</v>
      </c>
      <c r="FW26" s="13">
        <v>0.01</v>
      </c>
      <c r="FX26" s="13">
        <v>0.01</v>
      </c>
      <c r="FY26" s="13">
        <v>0.01</v>
      </c>
      <c r="FZ26" s="13">
        <v>0.01</v>
      </c>
      <c r="GA26" s="13">
        <v>0.18</v>
      </c>
      <c r="GB26" s="13">
        <v>0</v>
      </c>
    </row>
    <row r="27" spans="1:184" x14ac:dyDescent="0.25">
      <c r="A27" s="18"/>
      <c r="B27" s="6" t="s">
        <v>27</v>
      </c>
      <c r="C27" s="14">
        <v>0.04</v>
      </c>
      <c r="D27" s="14">
        <v>0.04</v>
      </c>
      <c r="E27" s="14">
        <v>0.04</v>
      </c>
      <c r="F27" s="14">
        <v>0.04</v>
      </c>
      <c r="G27" s="14">
        <v>0.04</v>
      </c>
      <c r="H27" s="12">
        <v>0.15</v>
      </c>
      <c r="I27" s="16">
        <v>8.5000000000000006E-2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>
        <f>+C27-1%</f>
        <v>0.03</v>
      </c>
      <c r="BH27" s="7">
        <f t="shared" ref="BH27" si="100">+D27-1%</f>
        <v>0.03</v>
      </c>
      <c r="BI27" s="7">
        <f t="shared" ref="BI27" si="101">+E27-1%</f>
        <v>0.03</v>
      </c>
      <c r="BJ27" s="7">
        <f t="shared" ref="BJ27" si="102">+F27-1%</f>
        <v>0.03</v>
      </c>
      <c r="BK27" s="7">
        <f t="shared" ref="BK27" si="103">+G27-1%</f>
        <v>0.03</v>
      </c>
      <c r="BL27" s="7">
        <f>+H27+1%</f>
        <v>0.16</v>
      </c>
      <c r="BM27" s="7">
        <f t="shared" ref="BM27" si="104">+I27-1%</f>
        <v>7.5000000000000011E-2</v>
      </c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>
        <f>+C27-2%</f>
        <v>0.02</v>
      </c>
      <c r="DZ27" s="7">
        <f t="shared" ref="DZ27" si="105">+D27-2%</f>
        <v>0.02</v>
      </c>
      <c r="EA27" s="7">
        <f t="shared" ref="EA27" si="106">+E27-2%</f>
        <v>0.02</v>
      </c>
      <c r="EB27" s="7">
        <f t="shared" ref="EB27" si="107">+F27-2%</f>
        <v>0.02</v>
      </c>
      <c r="EC27" s="7">
        <f t="shared" ref="EC27" si="108">+G27-2%</f>
        <v>0.02</v>
      </c>
      <c r="ED27" s="7">
        <f>+H27+2%</f>
        <v>0.16999999999999998</v>
      </c>
      <c r="EE27" s="7">
        <f t="shared" ref="EE27" si="109">+I27-2%</f>
        <v>6.5000000000000002E-2</v>
      </c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14">
        <v>0.04</v>
      </c>
      <c r="FW27" s="14">
        <v>0.04</v>
      </c>
      <c r="FX27" s="14">
        <v>0.04</v>
      </c>
      <c r="FY27" s="14">
        <v>0.04</v>
      </c>
      <c r="FZ27" s="14">
        <v>0.04</v>
      </c>
      <c r="GA27" s="12">
        <v>0.15</v>
      </c>
      <c r="GB27" s="16">
        <v>8.5000000000000006E-2</v>
      </c>
    </row>
    <row r="28" spans="1:184" x14ac:dyDescent="0.25">
      <c r="A28" s="18"/>
      <c r="B28" s="6" t="s">
        <v>28</v>
      </c>
      <c r="C28" s="13">
        <v>0.01</v>
      </c>
      <c r="D28" s="13">
        <v>0.01</v>
      </c>
      <c r="E28" s="13">
        <v>0.01</v>
      </c>
      <c r="F28" s="13">
        <v>0.01</v>
      </c>
      <c r="G28" s="13">
        <v>0.01</v>
      </c>
      <c r="H28" s="13">
        <v>0.18</v>
      </c>
      <c r="I28" s="13">
        <v>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13">
        <v>0.01</v>
      </c>
      <c r="BH28" s="13">
        <v>0.01</v>
      </c>
      <c r="BI28" s="13">
        <v>0.01</v>
      </c>
      <c r="BJ28" s="13">
        <v>0.01</v>
      </c>
      <c r="BK28" s="13">
        <v>0.01</v>
      </c>
      <c r="BL28" s="13">
        <v>0.18</v>
      </c>
      <c r="BM28" s="13">
        <v>0</v>
      </c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13">
        <v>0.01</v>
      </c>
      <c r="DZ28" s="13">
        <v>0.01</v>
      </c>
      <c r="EA28" s="13">
        <v>0.01</v>
      </c>
      <c r="EB28" s="13">
        <v>0.01</v>
      </c>
      <c r="EC28" s="13">
        <v>0.01</v>
      </c>
      <c r="ED28" s="13">
        <v>0.18</v>
      </c>
      <c r="EE28" s="13">
        <v>0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13">
        <v>0.01</v>
      </c>
      <c r="FW28" s="13">
        <v>0.01</v>
      </c>
      <c r="FX28" s="13">
        <v>0.01</v>
      </c>
      <c r="FY28" s="13">
        <v>0.01</v>
      </c>
      <c r="FZ28" s="13">
        <v>0.01</v>
      </c>
      <c r="GA28" s="13">
        <v>0.18</v>
      </c>
      <c r="GB28" s="13">
        <v>0</v>
      </c>
    </row>
    <row r="29" spans="1:184" ht="16.5" x14ac:dyDescent="0.3">
      <c r="C29"/>
      <c r="D29"/>
      <c r="E29"/>
      <c r="F29"/>
      <c r="G29"/>
      <c r="H29"/>
      <c r="I29"/>
    </row>
    <row r="30" spans="1:184" x14ac:dyDescent="0.25">
      <c r="I30" s="10"/>
    </row>
  </sheetData>
  <mergeCells count="110">
    <mergeCell ref="FV2:GB2"/>
    <mergeCell ref="FV3:FZ3"/>
    <mergeCell ref="GA3:GA4"/>
    <mergeCell ref="GB3:GB4"/>
    <mergeCell ref="EM3:EQ3"/>
    <mergeCell ref="ET3:EX3"/>
    <mergeCell ref="FA3:FE3"/>
    <mergeCell ref="FH3:FL3"/>
    <mergeCell ref="FO3:FS3"/>
    <mergeCell ref="X3:AB3"/>
    <mergeCell ref="AE3:AI3"/>
    <mergeCell ref="AL3:AP3"/>
    <mergeCell ref="AS3:AW3"/>
    <mergeCell ref="AZ3:BD3"/>
    <mergeCell ref="BG3:BK3"/>
    <mergeCell ref="BN3:BR3"/>
    <mergeCell ref="BU3:BY3"/>
    <mergeCell ref="CB3:CF3"/>
    <mergeCell ref="DI3:DI4"/>
    <mergeCell ref="DJ3:DJ4"/>
    <mergeCell ref="EK3:EK4"/>
    <mergeCell ref="EL3:EL4"/>
    <mergeCell ref="DW3:DW4"/>
    <mergeCell ref="DX3:DX4"/>
    <mergeCell ref="ED3:ED4"/>
    <mergeCell ref="EF3:EJ3"/>
    <mergeCell ref="CV3:CV4"/>
    <mergeCell ref="DB3:DB4"/>
    <mergeCell ref="A21:A24"/>
    <mergeCell ref="A25:A28"/>
    <mergeCell ref="FA2:FG2"/>
    <mergeCell ref="FH2:FN2"/>
    <mergeCell ref="FO2:FU2"/>
    <mergeCell ref="A9:A12"/>
    <mergeCell ref="A13:A16"/>
    <mergeCell ref="A17:A20"/>
    <mergeCell ref="DK2:DQ2"/>
    <mergeCell ref="DR2:DX2"/>
    <mergeCell ref="DY2:EE2"/>
    <mergeCell ref="EF2:EL2"/>
    <mergeCell ref="EM2:ES2"/>
    <mergeCell ref="ET2:EZ2"/>
    <mergeCell ref="BU2:CA2"/>
    <mergeCell ref="CB2:CH2"/>
    <mergeCell ref="CI2:CO2"/>
    <mergeCell ref="CP2:CV2"/>
    <mergeCell ref="CW2:DC2"/>
    <mergeCell ref="DD2:DJ2"/>
    <mergeCell ref="FU3:FU4"/>
    <mergeCell ref="J2:P2"/>
    <mergeCell ref="Q2:W2"/>
    <mergeCell ref="X2:AD2"/>
    <mergeCell ref="FT3:FT4"/>
    <mergeCell ref="FF3:FF4"/>
    <mergeCell ref="FG3:FG4"/>
    <mergeCell ref="AE2:AK2"/>
    <mergeCell ref="AL2:AR2"/>
    <mergeCell ref="AS2:AY2"/>
    <mergeCell ref="AZ2:BF2"/>
    <mergeCell ref="BG2:BM2"/>
    <mergeCell ref="BN2:BT2"/>
    <mergeCell ref="FM3:FM4"/>
    <mergeCell ref="FN3:FN4"/>
    <mergeCell ref="EY3:EY4"/>
    <mergeCell ref="EZ3:EZ4"/>
    <mergeCell ref="ER3:ER4"/>
    <mergeCell ref="ES3:ES4"/>
    <mergeCell ref="EE3:EE4"/>
    <mergeCell ref="CI3:CM3"/>
    <mergeCell ref="CP3:CT3"/>
    <mergeCell ref="CW3:DA3"/>
    <mergeCell ref="DD3:DH3"/>
    <mergeCell ref="DK3:DO3"/>
    <mergeCell ref="DR3:DV3"/>
    <mergeCell ref="DY3:EC3"/>
    <mergeCell ref="DQ3:DQ4"/>
    <mergeCell ref="DC3:DC4"/>
    <mergeCell ref="CN3:CN4"/>
    <mergeCell ref="CO3:CO4"/>
    <mergeCell ref="CU3:CU4"/>
    <mergeCell ref="DP3:DP4"/>
    <mergeCell ref="BF3:BF4"/>
    <mergeCell ref="BL3:BL4"/>
    <mergeCell ref="BM3:BM4"/>
    <mergeCell ref="CG3:CG4"/>
    <mergeCell ref="CH3:CH4"/>
    <mergeCell ref="BZ3:BZ4"/>
    <mergeCell ref="CA3:CA4"/>
    <mergeCell ref="BS3:BS4"/>
    <mergeCell ref="BT3:BT4"/>
    <mergeCell ref="C2:I2"/>
    <mergeCell ref="P3:P4"/>
    <mergeCell ref="V3:V4"/>
    <mergeCell ref="W3:W4"/>
    <mergeCell ref="A5:A8"/>
    <mergeCell ref="H3:H4"/>
    <mergeCell ref="I3:I4"/>
    <mergeCell ref="O3:O4"/>
    <mergeCell ref="C3:G3"/>
    <mergeCell ref="J3:N3"/>
    <mergeCell ref="Q3:U3"/>
    <mergeCell ref="AJ3:AJ4"/>
    <mergeCell ref="AK3:AK4"/>
    <mergeCell ref="AC3:AC4"/>
    <mergeCell ref="AD3:AD4"/>
    <mergeCell ref="AX3:AX4"/>
    <mergeCell ref="AY3:AY4"/>
    <mergeCell ref="BE3:BE4"/>
    <mergeCell ref="AQ3:AQ4"/>
    <mergeCell ref="AR3:AR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Lizbeth Guadalupe Morales</cp:lastModifiedBy>
  <cp:lastPrinted>2019-03-05T16:10:35Z</cp:lastPrinted>
  <dcterms:created xsi:type="dcterms:W3CDTF">2018-07-23T16:25:34Z</dcterms:created>
  <dcterms:modified xsi:type="dcterms:W3CDTF">2021-03-08T22:47:41Z</dcterms:modified>
</cp:coreProperties>
</file>